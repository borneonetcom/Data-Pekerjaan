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7FEB2D70-39D0-4594-B8D4-AFB2B63BB6B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2" i="1"/>
  <c r="G33" i="1"/>
  <c r="G34" i="1"/>
  <c r="G35" i="1"/>
  <c r="G31" i="1"/>
  <c r="G36" i="1" s="1"/>
  <c r="G19" i="1"/>
  <c r="G20" i="1"/>
  <c r="G21" i="1"/>
  <c r="G22" i="1"/>
  <c r="G23" i="1"/>
  <c r="G24" i="1"/>
  <c r="G25" i="1"/>
  <c r="G26" i="1"/>
  <c r="G27" i="1"/>
  <c r="G28" i="1"/>
  <c r="G18" i="1"/>
  <c r="G41" i="1" l="1"/>
  <c r="G43" i="1" s="1"/>
  <c r="G29" i="1"/>
</calcChain>
</file>

<file path=xl/sharedStrings.xml><?xml version="1.0" encoding="utf-8"?>
<sst xmlns="http://schemas.openxmlformats.org/spreadsheetml/2006/main" count="60" uniqueCount="48">
  <si>
    <t>NO.</t>
  </si>
  <si>
    <t>NAMA BARANG</t>
  </si>
  <si>
    <t>HARGA</t>
  </si>
  <si>
    <t>JUMLAH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</si>
  <si>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</si>
  <si>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</si>
  <si>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</si>
  <si>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</si>
  <si>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</si>
  <si>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</si>
  <si>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</si>
  <si>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</si>
  <si>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</si>
  <si>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</si>
  <si>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</si>
  <si>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</si>
  <si>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</si>
  <si>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</si>
  <si>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</si>
  <si>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</si>
  <si>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Pcs</t>
  </si>
  <si>
    <t>CCTV</t>
  </si>
  <si>
    <t>Camera Proview FC Audio</t>
  </si>
  <si>
    <t>DVR 16 Channel</t>
  </si>
  <si>
    <t>Harddisk 2TB</t>
  </si>
  <si>
    <t>Kabel CCTV RG6 Outdoor</t>
  </si>
  <si>
    <t>PSU 12V 20A Box</t>
  </si>
  <si>
    <t>Durados Camera</t>
  </si>
  <si>
    <t>Kabel Dutch 25x40</t>
  </si>
  <si>
    <t>Kabel Duct 50x50</t>
  </si>
  <si>
    <t>Alat Listrik</t>
  </si>
  <si>
    <t>Setting Dan Installasi</t>
  </si>
  <si>
    <t>Unit</t>
  </si>
  <si>
    <t>Roll</t>
  </si>
  <si>
    <t>Pkt</t>
  </si>
  <si>
    <t>Sub Total</t>
  </si>
  <si>
    <t>Installasi Listrik</t>
  </si>
  <si>
    <t>Lampu TL Set Ecolink 120cm</t>
  </si>
  <si>
    <t>Kabel Pian 2x1.5mm</t>
  </si>
  <si>
    <t>Block Krustin</t>
  </si>
  <si>
    <t>Kabel Duct TC-4</t>
  </si>
  <si>
    <t>Biaya Installasi</t>
  </si>
  <si>
    <t>GRAND TOTAL</t>
  </si>
  <si>
    <t>Meter</t>
  </si>
  <si>
    <t xml:space="preserve">Tambahan </t>
  </si>
  <si>
    <t xml:space="preserve">Braket  TV  32 in - 50in </t>
  </si>
  <si>
    <t>Paket</t>
  </si>
  <si>
    <t xml:space="preserve">Paket Ezvis H6C PRO 2K Memori 32 GB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</si>
</sst>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4" xfId="0" applyNumberFormat="1" applyFont="1" applyBorder="1"/>
    <xf numFmtId="0" fontId="0" fillId="0" borderId="18" xfId="0" applyBorder="1"/>
    <xf numFmtId="42" fontId="10" fillId="0" borderId="14" xfId="0" applyNumberFormat="1" applyFont="1" applyBorder="1"/>
    <xf numFmtId="42" fontId="1" fillId="0" borderId="1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42" fontId="2" fillId="0" borderId="4" xfId="0" applyNumberFormat="1" applyFont="1" applyBorder="1" applyAlignment="1">
      <alignment horizontal="center" vertical="center"/>
    </xf>
    <xf numFmtId="42" fontId="11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right" vertical="center"/>
    </xf>
    <xf numFmtId="0" fontId="11" fillId="0" borderId="22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right" vertical="center"/>
    </xf>
    <xf numFmtId="0" fontId="11" fillId="0" borderId="25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42" fontId="11" fillId="0" borderId="3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44</xdr:row>
      <xdr:rowOff>23812</xdr:rowOff>
    </xdr:from>
    <xdr:to>
      <xdr:col>2</xdr:col>
      <xdr:colOff>2320131</xdr:colOff>
      <xdr:row>51</xdr:row>
      <xdr:rowOff>79850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52"/>
  <sheetViews>
    <sheetView showGridLines="0" tabSelected="1" topLeftCell="A4" zoomScale="70" zoomScaleNormal="70" workbookViewId="0">
      <selection activeCell="B41" sqref="B41:F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4" t="s">
        <v>9</v>
      </c>
      <c r="D7" s="35"/>
      <c r="E7" s="35"/>
      <c r="F7" s="35"/>
      <c r="G7" s="35"/>
    </row>
    <row r="8" spans="2:14" ht="15.75" customHeight="1" x14ac:dyDescent="0.25">
      <c r="C8" s="35"/>
      <c r="D8" s="35"/>
      <c r="E8" s="35"/>
      <c r="F8" s="35"/>
      <c r="G8" s="35"/>
    </row>
    <row r="9" spans="2:14" ht="15.75" customHeight="1" x14ac:dyDescent="0.25">
      <c r="C9" s="36" t="s">
        <v>10</v>
      </c>
      <c r="D9" s="36"/>
      <c r="E9" s="36"/>
      <c r="F9" s="36"/>
      <c r="G9" s="36"/>
    </row>
    <row r="10" spans="2:14" ht="15.75" customHeight="1" x14ac:dyDescent="0.25">
      <c r="C10" s="36" t="s">
        <v>11</v>
      </c>
      <c r="D10" s="36"/>
      <c r="E10" s="36"/>
      <c r="F10" s="36"/>
      <c r="G10" s="36"/>
    </row>
    <row r="11" spans="2:14" ht="15.75" x14ac:dyDescent="0.25">
      <c r="C11" s="40" t="s">
        <v>12</v>
      </c>
      <c r="D11" s="40"/>
      <c r="E11" s="40"/>
      <c r="F11" s="40"/>
      <c r="G11" s="40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8" t="s">
        <v>16</v>
      </c>
      <c r="G13" s="48"/>
      <c r="N13" s="6" t="s">
        <v>15</v>
      </c>
    </row>
    <row r="14" spans="2:14" s="6" customFormat="1" ht="19.5" customHeight="1" x14ac:dyDescent="0.25">
      <c r="B14" s="50"/>
      <c r="C14" s="50"/>
      <c r="D14" s="1"/>
      <c r="E14" s="1"/>
      <c r="F14" s="49" t="s">
        <v>8</v>
      </c>
      <c r="G14" s="49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6</v>
      </c>
      <c r="E16" s="13" t="s">
        <v>7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51" t="s">
        <v>21</v>
      </c>
      <c r="C17" s="52"/>
      <c r="D17" s="52"/>
      <c r="E17" s="53"/>
      <c r="F17" s="25"/>
      <c r="G17" s="26"/>
    </row>
    <row r="18" spans="2:7" s="6" customFormat="1" ht="20.25" customHeight="1" x14ac:dyDescent="0.25">
      <c r="B18" s="2">
        <v>1</v>
      </c>
      <c r="C18" s="31" t="s">
        <v>22</v>
      </c>
      <c r="D18" s="2">
        <v>11</v>
      </c>
      <c r="E18" s="11" t="s">
        <v>20</v>
      </c>
      <c r="F18" s="27">
        <v>350000</v>
      </c>
      <c r="G18" s="26">
        <f>F18*D18</f>
        <v>3850000</v>
      </c>
    </row>
    <row r="19" spans="2:7" s="6" customFormat="1" ht="20.25" customHeight="1" x14ac:dyDescent="0.25">
      <c r="B19" s="2">
        <v>2</v>
      </c>
      <c r="C19" s="31" t="s">
        <v>23</v>
      </c>
      <c r="D19" s="2">
        <v>1</v>
      </c>
      <c r="E19" s="11" t="s">
        <v>32</v>
      </c>
      <c r="F19" s="27">
        <v>1950000</v>
      </c>
      <c r="G19" s="26">
        <f t="shared" ref="G19:G28" si="0">F19*D19</f>
        <v>1950000</v>
      </c>
    </row>
    <row r="20" spans="2:7" s="6" customFormat="1" ht="20.25" customHeight="1" x14ac:dyDescent="0.25">
      <c r="B20" s="2">
        <v>3</v>
      </c>
      <c r="C20" s="31" t="s">
        <v>24</v>
      </c>
      <c r="D20" s="2">
        <v>1</v>
      </c>
      <c r="E20" s="11" t="s">
        <v>20</v>
      </c>
      <c r="F20" s="27">
        <v>1850000</v>
      </c>
      <c r="G20" s="26">
        <f t="shared" si="0"/>
        <v>1850000</v>
      </c>
    </row>
    <row r="21" spans="2:7" s="6" customFormat="1" ht="20.25" customHeight="1" x14ac:dyDescent="0.25">
      <c r="B21" s="2">
        <v>4</v>
      </c>
      <c r="C21" s="31" t="s">
        <v>25</v>
      </c>
      <c r="D21" s="2">
        <v>200</v>
      </c>
      <c r="E21" s="11" t="s">
        <v>43</v>
      </c>
      <c r="F21" s="27">
        <v>4000</v>
      </c>
      <c r="G21" s="26">
        <f t="shared" si="0"/>
        <v>800000</v>
      </c>
    </row>
    <row r="22" spans="2:7" s="6" customFormat="1" ht="20.25" customHeight="1" x14ac:dyDescent="0.25">
      <c r="B22" s="2">
        <v>5</v>
      </c>
      <c r="C22" s="31" t="s">
        <v>26</v>
      </c>
      <c r="D22" s="2">
        <v>1</v>
      </c>
      <c r="E22" s="11" t="s">
        <v>20</v>
      </c>
      <c r="F22" s="27">
        <v>250000</v>
      </c>
      <c r="G22" s="26">
        <f t="shared" si="0"/>
        <v>250000</v>
      </c>
    </row>
    <row r="23" spans="2:7" s="6" customFormat="1" ht="20.25" customHeight="1" x14ac:dyDescent="0.25">
      <c r="B23" s="2">
        <v>6</v>
      </c>
      <c r="C23" s="31" t="s">
        <v>27</v>
      </c>
      <c r="D23" s="2">
        <v>11</v>
      </c>
      <c r="E23" s="11" t="s">
        <v>20</v>
      </c>
      <c r="F23" s="27">
        <v>20000</v>
      </c>
      <c r="G23" s="26">
        <f t="shared" si="0"/>
        <v>220000</v>
      </c>
    </row>
    <row r="24" spans="2:7" s="6" customFormat="1" ht="20.25" customHeight="1" x14ac:dyDescent="0.25">
      <c r="B24" s="2">
        <v>7</v>
      </c>
      <c r="C24" s="31" t="s">
        <v>18</v>
      </c>
      <c r="D24" s="2">
        <v>11</v>
      </c>
      <c r="E24" s="11" t="s">
        <v>19</v>
      </c>
      <c r="F24" s="27">
        <v>15000</v>
      </c>
      <c r="G24" s="26">
        <f t="shared" si="0"/>
        <v>165000</v>
      </c>
    </row>
    <row r="25" spans="2:7" s="6" customFormat="1" ht="20.25" customHeight="1" x14ac:dyDescent="0.25">
      <c r="B25" s="2">
        <v>8</v>
      </c>
      <c r="C25" s="31" t="s">
        <v>28</v>
      </c>
      <c r="D25" s="2">
        <v>22</v>
      </c>
      <c r="E25" s="11" t="s">
        <v>20</v>
      </c>
      <c r="F25" s="27">
        <v>31000</v>
      </c>
      <c r="G25" s="26">
        <f t="shared" si="0"/>
        <v>682000</v>
      </c>
    </row>
    <row r="26" spans="2:7" s="6" customFormat="1" ht="20.25" customHeight="1" x14ac:dyDescent="0.25">
      <c r="B26" s="2">
        <v>9</v>
      </c>
      <c r="C26" s="31" t="s">
        <v>29</v>
      </c>
      <c r="D26" s="2">
        <v>2</v>
      </c>
      <c r="E26" s="11" t="s">
        <v>20</v>
      </c>
      <c r="F26" s="27">
        <v>38000</v>
      </c>
      <c r="G26" s="26">
        <f t="shared" si="0"/>
        <v>76000</v>
      </c>
    </row>
    <row r="27" spans="2:7" s="6" customFormat="1" ht="20.25" customHeight="1" x14ac:dyDescent="0.25">
      <c r="B27" s="2">
        <v>10</v>
      </c>
      <c r="C27" s="30" t="s">
        <v>30</v>
      </c>
      <c r="D27" s="2">
        <v>1</v>
      </c>
      <c r="E27" s="11" t="s">
        <v>34</v>
      </c>
      <c r="F27" s="27">
        <v>150000</v>
      </c>
      <c r="G27" s="26">
        <f t="shared" si="0"/>
        <v>150000</v>
      </c>
    </row>
    <row r="28" spans="2:7" s="6" customFormat="1" ht="20.25" customHeight="1" x14ac:dyDescent="0.25">
      <c r="B28" s="2">
        <v>11</v>
      </c>
      <c r="C28" s="30" t="s">
        <v>31</v>
      </c>
      <c r="D28" s="2">
        <v>11</v>
      </c>
      <c r="E28" s="11" t="s">
        <v>17</v>
      </c>
      <c r="F28" s="27">
        <v>150000</v>
      </c>
      <c r="G28" s="26">
        <f t="shared" si="0"/>
        <v>1650000</v>
      </c>
    </row>
    <row r="29" spans="2:7" s="6" customFormat="1" ht="20.25" customHeight="1" x14ac:dyDescent="0.25">
      <c r="B29" s="54" t="s">
        <v>35</v>
      </c>
      <c r="C29" s="55"/>
      <c r="D29" s="55"/>
      <c r="E29" s="55"/>
      <c r="F29" s="56"/>
      <c r="G29" s="32">
        <f>SUM(G18:G28)</f>
        <v>11643000</v>
      </c>
    </row>
    <row r="30" spans="2:7" s="6" customFormat="1" ht="20.25" customHeight="1" x14ac:dyDescent="0.25">
      <c r="B30" s="57" t="s">
        <v>36</v>
      </c>
      <c r="C30" s="58"/>
      <c r="D30" s="58"/>
      <c r="E30" s="59"/>
      <c r="F30" s="27"/>
      <c r="G30" s="26"/>
    </row>
    <row r="31" spans="2:7" s="6" customFormat="1" ht="20.25" customHeight="1" x14ac:dyDescent="0.25">
      <c r="B31" s="2">
        <v>1</v>
      </c>
      <c r="C31" s="30" t="s">
        <v>37</v>
      </c>
      <c r="D31" s="2">
        <v>24</v>
      </c>
      <c r="E31" s="11" t="s">
        <v>20</v>
      </c>
      <c r="F31" s="27">
        <v>100000</v>
      </c>
      <c r="G31" s="26">
        <f>F31*D31</f>
        <v>2400000</v>
      </c>
    </row>
    <row r="32" spans="2:7" s="6" customFormat="1" ht="20.25" customHeight="1" x14ac:dyDescent="0.25">
      <c r="B32" s="2">
        <v>2</v>
      </c>
      <c r="C32" s="30" t="s">
        <v>38</v>
      </c>
      <c r="D32" s="2">
        <v>1</v>
      </c>
      <c r="E32" s="11" t="s">
        <v>33</v>
      </c>
      <c r="F32" s="27">
        <v>550000</v>
      </c>
      <c r="G32" s="26">
        <f>F32*D32</f>
        <v>550000</v>
      </c>
    </row>
    <row r="33" spans="2:7" s="6" customFormat="1" ht="20.25" customHeight="1" x14ac:dyDescent="0.25">
      <c r="B33" s="2">
        <v>3</v>
      </c>
      <c r="C33" s="30" t="s">
        <v>39</v>
      </c>
      <c r="D33" s="2">
        <v>1</v>
      </c>
      <c r="E33" s="11" t="s">
        <v>34</v>
      </c>
      <c r="F33" s="27">
        <v>50000</v>
      </c>
      <c r="G33" s="26">
        <f>F33*D33</f>
        <v>50000</v>
      </c>
    </row>
    <row r="34" spans="2:7" s="6" customFormat="1" ht="20.25" customHeight="1" x14ac:dyDescent="0.25">
      <c r="B34" s="2">
        <v>4</v>
      </c>
      <c r="C34" s="30" t="s">
        <v>40</v>
      </c>
      <c r="D34" s="2">
        <v>33</v>
      </c>
      <c r="E34" s="11" t="s">
        <v>20</v>
      </c>
      <c r="F34" s="27">
        <v>11000</v>
      </c>
      <c r="G34" s="26">
        <f>F34*D34</f>
        <v>363000</v>
      </c>
    </row>
    <row r="35" spans="2:7" s="6" customFormat="1" ht="20.25" customHeight="1" x14ac:dyDescent="0.25">
      <c r="B35" s="2">
        <v>5</v>
      </c>
      <c r="C35" s="30" t="s">
        <v>41</v>
      </c>
      <c r="D35" s="2">
        <v>28</v>
      </c>
      <c r="E35" s="11" t="s">
        <v>20</v>
      </c>
      <c r="F35" s="27">
        <v>50000</v>
      </c>
      <c r="G35" s="26">
        <f>F35*D35</f>
        <v>1400000</v>
      </c>
    </row>
    <row r="36" spans="2:7" s="6" customFormat="1" ht="20.25" customHeight="1" x14ac:dyDescent="0.25">
      <c r="B36" s="54" t="s">
        <v>35</v>
      </c>
      <c r="C36" s="55"/>
      <c r="D36" s="55"/>
      <c r="E36" s="55"/>
      <c r="F36" s="56"/>
      <c r="G36" s="33">
        <f>SUM(G31:G35)</f>
        <v>4763000</v>
      </c>
    </row>
    <row r="37" spans="2:7" s="6" customFormat="1" ht="20.25" customHeight="1" x14ac:dyDescent="0.25">
      <c r="B37" s="60"/>
      <c r="C37" s="61"/>
      <c r="D37" s="64"/>
      <c r="E37" s="61"/>
      <c r="F37" s="62"/>
      <c r="G37" s="63"/>
    </row>
    <row r="38" spans="2:7" s="6" customFormat="1" ht="20.25" customHeight="1" x14ac:dyDescent="0.25">
      <c r="B38" s="57" t="s">
        <v>44</v>
      </c>
      <c r="C38" s="58"/>
      <c r="D38" s="58"/>
      <c r="E38" s="58"/>
      <c r="F38" s="59"/>
      <c r="G38" s="63"/>
    </row>
    <row r="39" spans="2:7" s="6" customFormat="1" ht="20.25" customHeight="1" x14ac:dyDescent="0.25">
      <c r="B39" s="65">
        <v>1</v>
      </c>
      <c r="C39" s="30" t="s">
        <v>47</v>
      </c>
      <c r="D39" s="66">
        <v>1</v>
      </c>
      <c r="E39" s="66" t="s">
        <v>46</v>
      </c>
      <c r="F39" s="27">
        <v>750000</v>
      </c>
      <c r="G39" s="27">
        <f>F39*D39</f>
        <v>750000</v>
      </c>
    </row>
    <row r="40" spans="2:7" s="6" customFormat="1" ht="20.25" customHeight="1" x14ac:dyDescent="0.25">
      <c r="B40" s="65">
        <v>2</v>
      </c>
      <c r="C40" s="30" t="s">
        <v>45</v>
      </c>
      <c r="D40" s="66">
        <v>1</v>
      </c>
      <c r="E40" s="66" t="s">
        <v>32</v>
      </c>
      <c r="F40" s="27">
        <v>135000</v>
      </c>
      <c r="G40" s="26">
        <f>F40*D40</f>
        <v>135000</v>
      </c>
    </row>
    <row r="41" spans="2:7" s="6" customFormat="1" ht="20.25" customHeight="1" x14ac:dyDescent="0.25">
      <c r="B41" s="54" t="s">
        <v>35</v>
      </c>
      <c r="C41" s="55"/>
      <c r="D41" s="55"/>
      <c r="E41" s="55"/>
      <c r="F41" s="56"/>
      <c r="G41" s="32">
        <f>SUM(G39:H40)</f>
        <v>885000</v>
      </c>
    </row>
    <row r="42" spans="2:7" s="6" customFormat="1" ht="20.25" customHeight="1" thickBot="1" x14ac:dyDescent="0.3">
      <c r="B42" s="5"/>
      <c r="C42" s="5"/>
      <c r="D42" s="5"/>
      <c r="E42" s="5"/>
      <c r="F42" s="28"/>
      <c r="G42" s="28"/>
    </row>
    <row r="43" spans="2:7" ht="20.25" customHeight="1" thickTop="1" thickBot="1" x14ac:dyDescent="0.3">
      <c r="B43" s="43" t="s">
        <v>42</v>
      </c>
      <c r="C43" s="44"/>
      <c r="D43" s="44"/>
      <c r="E43" s="44"/>
      <c r="F43" s="45"/>
      <c r="G43" s="29">
        <f>G29+G36+G41</f>
        <v>17291000</v>
      </c>
    </row>
    <row r="44" spans="2:7" ht="15.75" thickTop="1" x14ac:dyDescent="0.25">
      <c r="B44" s="3"/>
      <c r="C44" s="3"/>
      <c r="D44" s="3"/>
      <c r="E44" s="3"/>
      <c r="F44" s="18"/>
      <c r="G44" s="19"/>
    </row>
    <row r="46" spans="2:7" s="21" customFormat="1" ht="18.75" x14ac:dyDescent="0.3">
      <c r="B46" s="46" t="s">
        <v>4</v>
      </c>
      <c r="C46" s="46"/>
      <c r="D46" s="20"/>
      <c r="E46" s="20"/>
      <c r="F46" s="47" t="s">
        <v>5</v>
      </c>
      <c r="G46" s="47"/>
    </row>
    <row r="50" spans="2:8" ht="15.75" x14ac:dyDescent="0.25">
      <c r="B50" s="37"/>
      <c r="C50" s="37"/>
      <c r="D50" s="37"/>
      <c r="E50" s="37"/>
      <c r="F50" s="37"/>
      <c r="G50" s="37"/>
    </row>
    <row r="51" spans="2:8" x14ac:dyDescent="0.25">
      <c r="B51" s="41" t="s">
        <v>13</v>
      </c>
      <c r="C51" s="42"/>
      <c r="D51" s="42"/>
      <c r="E51" s="42"/>
      <c r="F51" s="22"/>
      <c r="G51" s="24"/>
      <c r="H51" s="23"/>
    </row>
    <row r="52" spans="2:8" x14ac:dyDescent="0.25">
      <c r="B52" s="38" t="s">
        <v>14</v>
      </c>
      <c r="C52" s="39"/>
      <c r="D52" s="39"/>
      <c r="E52" s="39"/>
      <c r="F52" s="39"/>
      <c r="G52" s="39"/>
      <c r="H52" s="23"/>
    </row>
  </sheetData>
  <mergeCells count="19">
    <mergeCell ref="B36:F36"/>
    <mergeCell ref="B38:F38"/>
    <mergeCell ref="B41:F41"/>
    <mergeCell ref="C7:G8"/>
    <mergeCell ref="C9:G9"/>
    <mergeCell ref="C10:G10"/>
    <mergeCell ref="B50:G50"/>
    <mergeCell ref="B52:G52"/>
    <mergeCell ref="C11:G11"/>
    <mergeCell ref="B51:E51"/>
    <mergeCell ref="B43:F43"/>
    <mergeCell ref="B46:C46"/>
    <mergeCell ref="F46:G46"/>
    <mergeCell ref="F13:G13"/>
    <mergeCell ref="F14:G14"/>
    <mergeCell ref="B14:C14"/>
    <mergeCell ref="B17:E17"/>
    <mergeCell ref="B29:F29"/>
    <mergeCell ref="B30:E30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2026-07-18T03:00:40Z</dcterms:modified>
</cp:coreProperties>
</file>