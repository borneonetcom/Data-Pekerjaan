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User\Documents\Data-Pekerjaan\"/>
    </mc:Choice>
  </mc:AlternateContent>
  <xr:revisionPtr revIDLastSave="0" documentId="13_ncr:1_{CA28D206-9DAA-4C99-9C98-217FAFD3276B}" xr6:coauthVersionLast="47" xr6:coauthVersionMax="47" xr10:uidLastSave="{00000000-0000-0000-0000-000000000000}"/>
  <bookViews>
    <workbookView xWindow="-120" yWindow="-120" windowWidth="20730" windowHeight="11040" activeTab="1" xr2:uid="{F7CA82D4-8FEC-46C5-8E3D-E43D8F29F763}"/>
  </bookViews>
  <sheets>
    <sheet name="September" sheetId="1" r:id="rId1"/>
    <sheet name="Oktob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213" i="2" l="1"/>
  <c r="AI212" i="2"/>
  <c r="AI211" i="2"/>
  <c r="AI210" i="2"/>
  <c r="AI209" i="2"/>
  <c r="AI208" i="2"/>
  <c r="AI207" i="2"/>
  <c r="AI206" i="2"/>
  <c r="AI205" i="2"/>
  <c r="AI204" i="2"/>
  <c r="AI203" i="2"/>
  <c r="AI202" i="2"/>
  <c r="AI194" i="2"/>
  <c r="AI193" i="2"/>
  <c r="AI192" i="2"/>
  <c r="AI191" i="2"/>
  <c r="AI190" i="2"/>
  <c r="AI189" i="2"/>
  <c r="AI188" i="2"/>
  <c r="AI187" i="2"/>
  <c r="AI186" i="2"/>
  <c r="AI185" i="2"/>
  <c r="AI184" i="2"/>
  <c r="AI183" i="2"/>
  <c r="AI182" i="2"/>
  <c r="AI181" i="2"/>
  <c r="AI180" i="2"/>
  <c r="AI179" i="2"/>
  <c r="AI178" i="2"/>
  <c r="AI177" i="2"/>
  <c r="AI176" i="2"/>
  <c r="AI175" i="2"/>
  <c r="AI174" i="2"/>
  <c r="AI173" i="2"/>
  <c r="AI172" i="2"/>
  <c r="AI171" i="2"/>
  <c r="AI170" i="2"/>
  <c r="AI169" i="2"/>
  <c r="AI168" i="2"/>
  <c r="AI167" i="2"/>
  <c r="AI166" i="2"/>
  <c r="AI165" i="2"/>
  <c r="AI164" i="2"/>
  <c r="AI163" i="2"/>
  <c r="AI162" i="2"/>
  <c r="AI161" i="2"/>
  <c r="AI160" i="2"/>
  <c r="AI159" i="2"/>
  <c r="AI158" i="2"/>
  <c r="AI157" i="2"/>
  <c r="AI156" i="2"/>
  <c r="AI155" i="2"/>
  <c r="AI154" i="2"/>
  <c r="AI153" i="2"/>
  <c r="AI152" i="2"/>
  <c r="AI151" i="2"/>
  <c r="AI150" i="2"/>
  <c r="AI149" i="2"/>
  <c r="AI139" i="2"/>
  <c r="AI138" i="2"/>
  <c r="AI137" i="2"/>
  <c r="AI136" i="2"/>
  <c r="AI135" i="2"/>
  <c r="AI134" i="2"/>
  <c r="AI133" i="2"/>
  <c r="AI132" i="2"/>
  <c r="AI131" i="2"/>
  <c r="AI130" i="2"/>
  <c r="AI129" i="2"/>
  <c r="AI128" i="2"/>
  <c r="AI127" i="2"/>
  <c r="AI126" i="2"/>
  <c r="AI125" i="2"/>
  <c r="AI124" i="2"/>
  <c r="AI123" i="2"/>
  <c r="AI122" i="2"/>
  <c r="AI121" i="2"/>
  <c r="AI120" i="2"/>
  <c r="AI119" i="2"/>
  <c r="AI118" i="2"/>
  <c r="AI117" i="2"/>
  <c r="AI116" i="2"/>
  <c r="AI115" i="2"/>
  <c r="AI114" i="2"/>
  <c r="AI113" i="2"/>
  <c r="AI112" i="2"/>
  <c r="AI111" i="2"/>
  <c r="AI110" i="2"/>
  <c r="AI109" i="2"/>
  <c r="AI108" i="2"/>
  <c r="AI107" i="2"/>
  <c r="AI98" i="2"/>
  <c r="AI97" i="2"/>
  <c r="AI96" i="2"/>
  <c r="AI95" i="2"/>
  <c r="AI94" i="2"/>
  <c r="AI93" i="2"/>
  <c r="AI92" i="2"/>
  <c r="AI91" i="2"/>
  <c r="AI90" i="2"/>
  <c r="AI89" i="2"/>
  <c r="AI88" i="2"/>
  <c r="AI87" i="2"/>
  <c r="AI86" i="2"/>
  <c r="AI85" i="2"/>
  <c r="AI84" i="2"/>
  <c r="AI83" i="2"/>
  <c r="AI82" i="2"/>
  <c r="AI81" i="2"/>
  <c r="AI80" i="2"/>
  <c r="AI79" i="2"/>
  <c r="AI78" i="2"/>
  <c r="AI77" i="2"/>
  <c r="AI75" i="2"/>
  <c r="AI74" i="2"/>
  <c r="AI73" i="2"/>
  <c r="AI72" i="2"/>
  <c r="AI71" i="2"/>
  <c r="AI70" i="2"/>
  <c r="AI69" i="2"/>
  <c r="AI68" i="2"/>
  <c r="AI67" i="2"/>
  <c r="AI66" i="2"/>
  <c r="AI65" i="2"/>
  <c r="AI64" i="2"/>
  <c r="AI63" i="2"/>
  <c r="AI62" i="2"/>
  <c r="AI61" i="2"/>
  <c r="AI60" i="2"/>
  <c r="AI59" i="2"/>
  <c r="AI58" i="2"/>
  <c r="AI57" i="2"/>
  <c r="AI56" i="2"/>
  <c r="AI55" i="2"/>
  <c r="AI54" i="2"/>
  <c r="AI47" i="2"/>
  <c r="AI46" i="2"/>
  <c r="AI45" i="2"/>
  <c r="AI44" i="2"/>
  <c r="AI43" i="2"/>
  <c r="AI42" i="2"/>
  <c r="AI41" i="2"/>
  <c r="AI40" i="2"/>
  <c r="AI39" i="2"/>
  <c r="AI38" i="2"/>
  <c r="AI37" i="2"/>
  <c r="AI36" i="2"/>
  <c r="AI35" i="2"/>
  <c r="B30" i="2"/>
  <c r="AI28" i="2"/>
  <c r="AI27" i="2"/>
  <c r="AI26" i="2"/>
  <c r="AI25" i="2"/>
  <c r="AI24" i="2"/>
  <c r="AI23" i="2"/>
  <c r="AI22" i="2"/>
  <c r="AI21" i="2"/>
  <c r="AI20" i="2"/>
  <c r="AI19" i="2"/>
  <c r="AI18" i="2"/>
  <c r="AI17" i="2"/>
  <c r="AI16" i="2"/>
  <c r="AI15" i="2"/>
  <c r="AI14" i="2"/>
  <c r="AI13" i="2"/>
  <c r="AI12" i="2"/>
  <c r="AI11" i="2"/>
  <c r="AI10" i="2"/>
  <c r="AI9" i="2"/>
  <c r="AI8" i="2"/>
  <c r="AI7" i="2"/>
  <c r="AI6" i="2"/>
  <c r="AI5" i="2"/>
  <c r="B30" i="1"/>
  <c r="AI4" i="1"/>
  <c r="AI65" i="1"/>
  <c r="AI66" i="1"/>
  <c r="AI67" i="1"/>
  <c r="AI68" i="1"/>
  <c r="AI69" i="1"/>
  <c r="AI70" i="1"/>
  <c r="AI71" i="1"/>
  <c r="AI72" i="1"/>
  <c r="AI73" i="1"/>
  <c r="AI74" i="1"/>
  <c r="AI64" i="1"/>
  <c r="AI97" i="1"/>
  <c r="AI41" i="1"/>
  <c r="AI96" i="1"/>
  <c r="AI95" i="1"/>
  <c r="AI94" i="1"/>
  <c r="AI93" i="1"/>
  <c r="AI21" i="1" l="1"/>
  <c r="AI212" i="1"/>
  <c r="AI211" i="1"/>
  <c r="AI210" i="1"/>
  <c r="AI209" i="1"/>
  <c r="AI208" i="1"/>
  <c r="AI207" i="1"/>
  <c r="AI206" i="1"/>
  <c r="AI205" i="1"/>
  <c r="AI204" i="1"/>
  <c r="AI203" i="1"/>
  <c r="AI202" i="1"/>
  <c r="AI201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06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92" i="1"/>
  <c r="AI91" i="1"/>
  <c r="AI90" i="1"/>
  <c r="AI89" i="1"/>
  <c r="AI88" i="1"/>
  <c r="AI87" i="1"/>
  <c r="AI86" i="1"/>
  <c r="AI85" i="1"/>
  <c r="AI84" i="1"/>
  <c r="AI83" i="1"/>
  <c r="AI82" i="1"/>
  <c r="AI81" i="1"/>
  <c r="AI80" i="1"/>
  <c r="AI169" i="1" l="1"/>
  <c r="AI168" i="1"/>
  <c r="AI167" i="1"/>
  <c r="AI166" i="1"/>
  <c r="AI165" i="1"/>
  <c r="AI164" i="1"/>
  <c r="AI163" i="1"/>
  <c r="AI162" i="1"/>
  <c r="AI161" i="1"/>
  <c r="AI160" i="1"/>
  <c r="AI159" i="1"/>
  <c r="AI158" i="1"/>
  <c r="AI157" i="1"/>
  <c r="AI156" i="1"/>
  <c r="AI155" i="1"/>
  <c r="AI154" i="1"/>
  <c r="AI153" i="1"/>
  <c r="AI152" i="1"/>
  <c r="AI151" i="1"/>
  <c r="AI150" i="1"/>
  <c r="AI149" i="1"/>
  <c r="AI148" i="1"/>
  <c r="AI61" i="1"/>
  <c r="AI36" i="1"/>
  <c r="AI37" i="1"/>
  <c r="AI38" i="1"/>
  <c r="AI39" i="1"/>
  <c r="AI40" i="1"/>
  <c r="AI42" i="1"/>
  <c r="AI43" i="1"/>
  <c r="AI44" i="1"/>
  <c r="AI45" i="1"/>
  <c r="AI46" i="1"/>
  <c r="AI47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2" i="1"/>
  <c r="AI23" i="1"/>
  <c r="AI24" i="1"/>
  <c r="AI25" i="1"/>
  <c r="AI26" i="1"/>
  <c r="AI27" i="1"/>
  <c r="AI28" i="1"/>
  <c r="AI59" i="1"/>
  <c r="AI55" i="1"/>
  <c r="AI56" i="1"/>
  <c r="AI57" i="1"/>
  <c r="AI58" i="1"/>
  <c r="AI60" i="1"/>
  <c r="AI62" i="1"/>
  <c r="AI63" i="1"/>
  <c r="AI75" i="1"/>
  <c r="AI76" i="1"/>
  <c r="AI77" i="1"/>
  <c r="AI78" i="1"/>
  <c r="AI79" i="1"/>
  <c r="AI54" i="1"/>
  <c r="AI35" i="1" l="1"/>
  <c r="AI4" i="2" l="1"/>
</calcChain>
</file>

<file path=xl/sharedStrings.xml><?xml version="1.0" encoding="utf-8"?>
<sst xmlns="http://schemas.openxmlformats.org/spreadsheetml/2006/main" count="405" uniqueCount="182">
  <si>
    <t>No</t>
  </si>
  <si>
    <t>Nama Barang</t>
  </si>
  <si>
    <t>Stok Awal</t>
  </si>
  <si>
    <t>Stok Akhir</t>
  </si>
  <si>
    <t>Kamera Proview Indoor</t>
  </si>
  <si>
    <t>Kamera Proview Outdoor</t>
  </si>
  <si>
    <t xml:space="preserve">Kamera Hikvision Two-way ColorVu Fixed </t>
  </si>
  <si>
    <t>Kamera Hikvision Two-way Audio Fixed PT</t>
  </si>
  <si>
    <t>Kamera Hikvision Two-way Audio Fixed Outdoor</t>
  </si>
  <si>
    <t>Kamera Hikvision Two-way Audio Fixed Cam Outdoor</t>
  </si>
  <si>
    <t>Kamera Hikvision Two-way Audio Fixed Camera</t>
  </si>
  <si>
    <t>Kamera Hikvision Turbo HD Outdoor</t>
  </si>
  <si>
    <t>Kamera Hikvision Turbo HD Color</t>
  </si>
  <si>
    <t>Kamera Hikvision Smart Hybrid Light Outdoor</t>
  </si>
  <si>
    <t>Kamera Hikvision Two-way Audio ColorVu Fixed outdoor</t>
  </si>
  <si>
    <t>Kamera Hikvision Smart Hybrid Light ColorVu Fixed outdoor</t>
  </si>
  <si>
    <t>Hikvision Outdoor Bullet 5MP</t>
  </si>
  <si>
    <t>Hikvision Smart Hybrid ColorVu Mini</t>
  </si>
  <si>
    <t>Hikvision 2 MP ColorVu 3.0 Fixed Dome</t>
  </si>
  <si>
    <t>Hikvision ColorVu 3.0</t>
  </si>
  <si>
    <t>Hikvision EXID Fixed Dome H.265+</t>
  </si>
  <si>
    <t>CCTV</t>
  </si>
  <si>
    <t>REKAP BARANG BORNEO NETCOM SEPTEMBER 2026</t>
  </si>
  <si>
    <t>DVR</t>
  </si>
  <si>
    <t>Dvr HiLook 4ch</t>
  </si>
  <si>
    <t>Dvr HiLook 8ch</t>
  </si>
  <si>
    <t>Dvr HiLook 16ch</t>
  </si>
  <si>
    <t>Dvr Hikvision 4ch</t>
  </si>
  <si>
    <t>Dvr Hikvision 8ch</t>
  </si>
  <si>
    <t>Dvr Hikvision 16ch</t>
  </si>
  <si>
    <t>Dvr Proview 4ch</t>
  </si>
  <si>
    <t>Dvr Proview 8ch</t>
  </si>
  <si>
    <t>Dvr Proview 16ch</t>
  </si>
  <si>
    <t>Power Supply 4 ch</t>
  </si>
  <si>
    <t>Power Supply 8 ch</t>
  </si>
  <si>
    <t>Power Supply 16 ch</t>
  </si>
  <si>
    <t>Adaptor 12v 2A</t>
  </si>
  <si>
    <t>Adaptor 12v 3A</t>
  </si>
  <si>
    <t>Adaptor 12v 5A</t>
  </si>
  <si>
    <t>Bracket Ezviz</t>
  </si>
  <si>
    <t>Kabel CCTV Hitam</t>
  </si>
  <si>
    <t>Kabel CCTV Putih</t>
  </si>
  <si>
    <t xml:space="preserve">Kabel LAN Belden </t>
  </si>
  <si>
    <t xml:space="preserve">Kabel LAN Hikvision </t>
  </si>
  <si>
    <t>Kabel HDMI 1,5M</t>
  </si>
  <si>
    <t>Kabel HDMI 5M</t>
  </si>
  <si>
    <t>Kabel HDMI 10M</t>
  </si>
  <si>
    <t>Kabel HDMI 15M</t>
  </si>
  <si>
    <t>Kabel HDMI 20M</t>
  </si>
  <si>
    <t>BARANG MASUK SEPTEMBER</t>
  </si>
  <si>
    <t>Ezviz H6c Pro 2k</t>
  </si>
  <si>
    <t>Ezviz H8c 1080p</t>
  </si>
  <si>
    <t>Ezviz H8c Pro 2k</t>
  </si>
  <si>
    <t>Imou Ranger 2</t>
  </si>
  <si>
    <t>Imou PS3E Outdoor</t>
  </si>
  <si>
    <t>Imou PS8E Indoor &amp; Outdoor</t>
  </si>
  <si>
    <t>Cruiser SC</t>
  </si>
  <si>
    <t>Nvr Hikvision 4ch</t>
  </si>
  <si>
    <t>Nvr Hikvision 8ch</t>
  </si>
  <si>
    <t>Nvr Hikvision 16ch</t>
  </si>
  <si>
    <t>Alat Komputer</t>
  </si>
  <si>
    <t>Adaptor Asus Ori 4.0*1.35Mm</t>
  </si>
  <si>
    <t>Adaptor Asus Ori 5.5*2.5 Besar</t>
  </si>
  <si>
    <t>Adaptor Asus Ori 5.5*2.5Mm</t>
  </si>
  <si>
    <t>Adaptor Asus Ori Usb-C</t>
  </si>
  <si>
    <t>Adaptor Lenovo Ori 4.0*1.7Mm</t>
  </si>
  <si>
    <t>Adaptor Lenovo Ori Usb</t>
  </si>
  <si>
    <t>Adaptor Hp Blue Pin 4.5*3.0Mm</t>
  </si>
  <si>
    <t>Condeser Microphone</t>
  </si>
  <si>
    <t>Flashdisk Sandisk 64GB</t>
  </si>
  <si>
    <t>Fleksibel Keyboard</t>
  </si>
  <si>
    <t>Gaming MousePad CMP-10</t>
  </si>
  <si>
    <t>Gaming Speaker</t>
  </si>
  <si>
    <t>Aksesoris CCTV</t>
  </si>
  <si>
    <t>Hdmi Extender 30M</t>
  </si>
  <si>
    <t>Durados Hexagon</t>
  </si>
  <si>
    <t>Durados Kotak</t>
  </si>
  <si>
    <t>Hdmi Male To Female</t>
  </si>
  <si>
    <t>Kabel Notebok</t>
  </si>
  <si>
    <t>Kabel Power CPU</t>
  </si>
  <si>
    <t>Kabel Power Printer</t>
  </si>
  <si>
    <t>Kabel USB Male To Male</t>
  </si>
  <si>
    <t>Kabel Usb To Printer</t>
  </si>
  <si>
    <t>Kabel VGA 1,5M</t>
  </si>
  <si>
    <t>K-20 Keyboard Wireless</t>
  </si>
  <si>
    <t>Laser Pointer</t>
  </si>
  <si>
    <t>Mouse Cliptec Wireless</t>
  </si>
  <si>
    <t>Mouse Heatz Zm59 Wired</t>
  </si>
  <si>
    <t>Mouse Wireless M171</t>
  </si>
  <si>
    <t>Numeric Wired Keyboard</t>
  </si>
  <si>
    <t>UPS Dahua 480-A</t>
  </si>
  <si>
    <t>UPS Dahua 720-A</t>
  </si>
  <si>
    <t>Usb To VGA</t>
  </si>
  <si>
    <t>Wifi USB D-Link</t>
  </si>
  <si>
    <t>Wifi USB TP-Link</t>
  </si>
  <si>
    <t>Wired Keyboard MK120</t>
  </si>
  <si>
    <t>Adaptor Acer Ori 3.0*1.0mm</t>
  </si>
  <si>
    <t>Printer dan Aksesoris</t>
  </si>
  <si>
    <t>Printer Epson L3211</t>
  </si>
  <si>
    <t>Printer Epson L3251</t>
  </si>
  <si>
    <t>Printer Canon G3730</t>
  </si>
  <si>
    <t>Printer Canon G4770</t>
  </si>
  <si>
    <t>Tinta Brother T Series Black</t>
  </si>
  <si>
    <t>Tinta Brother T Series Cyan</t>
  </si>
  <si>
    <t>Tinta Brother T Series Magenta</t>
  </si>
  <si>
    <t>Tinta Brother T Series Yellow</t>
  </si>
  <si>
    <t>Tinta BTD60BK</t>
  </si>
  <si>
    <t>Tinta Brother BT5000C</t>
  </si>
  <si>
    <t>Tinta Brother BT5000M</t>
  </si>
  <si>
    <t>Tinta Brother BT5000Y</t>
  </si>
  <si>
    <t>Tinta Canon 71 PGBK</t>
  </si>
  <si>
    <t>Tinta Canon 790 Black</t>
  </si>
  <si>
    <t>Tinta Canon 790 Cyan</t>
  </si>
  <si>
    <t>Tinta Canon 790 Magenta</t>
  </si>
  <si>
    <t>Tinta Canon 790 Yellow</t>
  </si>
  <si>
    <t>Tinta Canon GI-71 Black Amazing</t>
  </si>
  <si>
    <t>Tinta Canon GI-71 Cyan Amazing</t>
  </si>
  <si>
    <t>Tinta Canon GI-71 Magenta Amazing</t>
  </si>
  <si>
    <t>Tinta Canon GI-71 Yellow Amazing</t>
  </si>
  <si>
    <t>Tinta Canon 71 Cyan Pixma</t>
  </si>
  <si>
    <t>Tinta Canon 71 Magenta Pixma</t>
  </si>
  <si>
    <t>Tinta Canon 71 Yellow Pixma</t>
  </si>
  <si>
    <t>Tinta Epson 003 Black Amazing</t>
  </si>
  <si>
    <t>Tinta Epson 003 Cyan Amazing</t>
  </si>
  <si>
    <t>Tinta Epson 003 Magenta Amazing</t>
  </si>
  <si>
    <t>Tinta Epson 003 Yellow Amazing</t>
  </si>
  <si>
    <t>Tinta Epson 003 Black Ecotank</t>
  </si>
  <si>
    <t>Tinta Epson 003 Cyan Ecotank</t>
  </si>
  <si>
    <t>Tinta Epson 003 Magenta Ecotank</t>
  </si>
  <si>
    <t>Tinta Epson 003 Yellow Ecotank</t>
  </si>
  <si>
    <t>Tinta Epson 664 Black Amazing</t>
  </si>
  <si>
    <t>Tinta Epson 664 Cyan Amazing</t>
  </si>
  <si>
    <t>Tinta Epson 664 Magenta Amazing</t>
  </si>
  <si>
    <t>Tinta Epson 664 Yellow Amazing</t>
  </si>
  <si>
    <t>Tinta Epson 664 Black Ecotank</t>
  </si>
  <si>
    <t>Tinta Epson 664 Cyan Ecotank</t>
  </si>
  <si>
    <t>Tinta Epson 664 Magenta Ecotank</t>
  </si>
  <si>
    <t>Tinta Epson 664 Yellow Ecotank</t>
  </si>
  <si>
    <t>Printhead 810 Black</t>
  </si>
  <si>
    <t>Printhead BH-7 Black</t>
  </si>
  <si>
    <t>Printhead CH-7 Color</t>
  </si>
  <si>
    <t>Dataprint Refill Kit</t>
  </si>
  <si>
    <t>Maintenance Cadridge G04</t>
  </si>
  <si>
    <t>Maintenance Box</t>
  </si>
  <si>
    <t>Harddisk 500GB</t>
  </si>
  <si>
    <t>Harddisk 1TB</t>
  </si>
  <si>
    <t>Harddisk 2TB</t>
  </si>
  <si>
    <t>Harddisk 4TB</t>
  </si>
  <si>
    <t>Memory 32GB</t>
  </si>
  <si>
    <t>Memory 64GB</t>
  </si>
  <si>
    <t>Memory 128GB</t>
  </si>
  <si>
    <t>Monitor Omega 19"</t>
  </si>
  <si>
    <t>Monitor Omega 22"</t>
  </si>
  <si>
    <t>Monitor Omega 24"</t>
  </si>
  <si>
    <t>Bracket TV 14"-42"</t>
  </si>
  <si>
    <t>Bracket TV 24"-60"</t>
  </si>
  <si>
    <t>Monitor Dahua 24"</t>
  </si>
  <si>
    <t>AC</t>
  </si>
  <si>
    <t>Drainer Pump AC</t>
  </si>
  <si>
    <t>Ezviz TY1 Pro 2k</t>
  </si>
  <si>
    <t>Kabel Listrik Pian/Setara 2x0,75</t>
  </si>
  <si>
    <t>Kabel Listrik Pian/Setara 2x1,5</t>
  </si>
  <si>
    <t>Kabel Listrik Pian/Setara 2x2,5</t>
  </si>
  <si>
    <t>Kabel Listrik Eterna 2x0,75</t>
  </si>
  <si>
    <t>Kabel Listrik Eterna 2x1,5</t>
  </si>
  <si>
    <t>Kabel Listrik Eterna 2x2,5</t>
  </si>
  <si>
    <t>Tp-Link Swith Putih 8 Port</t>
  </si>
  <si>
    <t>Tp-Link Swith Hitam 8 Port</t>
  </si>
  <si>
    <t>Tp-Link Swith Hitam 16 Port</t>
  </si>
  <si>
    <t>Poe Swith 8 Port</t>
  </si>
  <si>
    <t>Konektor LAN</t>
  </si>
  <si>
    <t>Dvr Hikvision 32ch</t>
  </si>
  <si>
    <t>Konektor Bnc</t>
  </si>
  <si>
    <t>Poe Spilliter</t>
  </si>
  <si>
    <t xml:space="preserve">   </t>
  </si>
  <si>
    <t>Colokan</t>
  </si>
  <si>
    <t>REKAP BARANG BORNEO NETCOM OKTOBER 2026</t>
  </si>
  <si>
    <t>Kabel HDMI 3M</t>
  </si>
  <si>
    <t>20m</t>
  </si>
  <si>
    <t>16m</t>
  </si>
  <si>
    <t>35m</t>
  </si>
  <si>
    <t>438m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</si>
</sst>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1"/>
      <color rgb="FF000000"/>
      <name val="Times New Roman"/>
      <family val="1"/>
    </font>
    <font>
      <sz val="8"/>
      <name val="Aptos Narrow"/>
      <family val="2"/>
      <scheme val="minor"/>
    </font>
    <font>
      <b/>
      <sz val="11"/>
      <color theme="1"/>
      <name val="Times New Roman"/>
      <family val="1"/>
    </font>
    <font>
      <b/>
      <sz val="11"/>
      <color rgb="FF000000"/>
      <name val="Times New Roman"/>
      <family val="1"/>
    </font>
    <font>
      <b/>
      <sz val="14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2" xfId="0" applyFont="1" applyBorder="1"/>
    <xf numFmtId="0" fontId="1" fillId="0" borderId="1" xfId="0" applyFont="1" applyBorder="1"/>
    <xf numFmtId="0" fontId="1" fillId="0" borderId="5" xfId="0" applyFont="1" applyBorder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4" fillId="0" borderId="1" xfId="0" applyFont="1" applyBorder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5" fillId="0" borderId="2" xfId="0" applyFont="1" applyBorder="1"/>
    <xf numFmtId="0" fontId="5" fillId="0" borderId="4" xfId="0" applyFont="1" applyBorder="1"/>
    <xf numFmtId="0" fontId="5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5" fillId="0" borderId="5" xfId="0" applyFont="1" applyBorder="1"/>
    <xf numFmtId="0" fontId="2" fillId="0" borderId="8" xfId="0" applyFont="1" applyBorder="1" applyAlignment="1">
      <alignment horizontal="center"/>
    </xf>
    <xf numFmtId="0" fontId="1" fillId="0" borderId="8" xfId="0" applyFont="1" applyBorder="1"/>
    <xf numFmtId="0" fontId="1" fillId="0" borderId="8" xfId="0" applyFont="1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  <xf numFmtId="0" fontId="2" fillId="0" borderId="9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3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4" fillId="0" borderId="3" xfId="0" applyFont="1" applyBorder="1" applyAlignment="1">
      <alignment horizontal="left"/>
    </xf>
    <xf numFmtId="0" fontId="6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225FE-23E4-42F3-B08F-0D37368591A6}">
  <dimension ref="A1:AO212"/>
  <sheetViews>
    <sheetView topLeftCell="C1" zoomScale="90" zoomScaleNormal="90" workbookViewId="0">
      <selection activeCell="A2" sqref="A1:XFD1048576"/>
    </sheetView>
  </sheetViews>
  <sheetFormatPr defaultColWidth="9.140625" defaultRowHeight="15" x14ac:dyDescent="0.25"/>
  <cols>
    <col min="1" max="1" width="4.42578125" style="9" customWidth="1"/>
    <col min="2" max="2" width="56.85546875" style="9" customWidth="1"/>
    <col min="3" max="3" width="11" style="10" customWidth="1"/>
    <col min="4" max="34" width="5.85546875" style="11" customWidth="1"/>
    <col min="35" max="36" width="11.7109375" style="9" customWidth="1"/>
    <col min="37" max="41" width="15.85546875" style="9" customWidth="1"/>
    <col min="42" max="16384" width="9.140625" style="9"/>
  </cols>
  <sheetData>
    <row r="1" spans="1:41" ht="15.75" customHeight="1" x14ac:dyDescent="0.3">
      <c r="A1" s="41" t="s">
        <v>22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  <c r="AC1" s="41"/>
      <c r="AD1" s="41"/>
      <c r="AE1" s="41"/>
      <c r="AF1" s="41"/>
      <c r="AG1" s="41"/>
      <c r="AH1" s="41"/>
      <c r="AI1" s="41"/>
      <c r="AJ1" s="8"/>
    </row>
    <row r="2" spans="1:41" ht="13.9" x14ac:dyDescent="0.25">
      <c r="A2" s="38" t="s">
        <v>21</v>
      </c>
      <c r="B2" s="38"/>
    </row>
    <row r="3" spans="1:41" ht="13.9" x14ac:dyDescent="0.25">
      <c r="A3" s="12" t="s">
        <v>0</v>
      </c>
      <c r="B3" s="12" t="s">
        <v>1</v>
      </c>
      <c r="C3" s="13" t="s">
        <v>2</v>
      </c>
      <c r="D3" s="13">
        <v>1</v>
      </c>
      <c r="E3" s="13">
        <v>2</v>
      </c>
      <c r="F3" s="13">
        <v>3</v>
      </c>
      <c r="G3" s="13">
        <v>4</v>
      </c>
      <c r="H3" s="13">
        <v>5</v>
      </c>
      <c r="I3" s="13">
        <v>6</v>
      </c>
      <c r="J3" s="13">
        <v>7</v>
      </c>
      <c r="K3" s="13">
        <v>8</v>
      </c>
      <c r="L3" s="13">
        <v>9</v>
      </c>
      <c r="M3" s="13">
        <v>10</v>
      </c>
      <c r="N3" s="13">
        <v>11</v>
      </c>
      <c r="O3" s="13">
        <v>12</v>
      </c>
      <c r="P3" s="13">
        <v>13</v>
      </c>
      <c r="Q3" s="13">
        <v>14</v>
      </c>
      <c r="R3" s="13">
        <v>15</v>
      </c>
      <c r="S3" s="13">
        <v>16</v>
      </c>
      <c r="T3" s="13">
        <v>17</v>
      </c>
      <c r="U3" s="13">
        <v>18</v>
      </c>
      <c r="V3" s="13">
        <v>19</v>
      </c>
      <c r="W3" s="13">
        <v>20</v>
      </c>
      <c r="X3" s="13">
        <v>21</v>
      </c>
      <c r="Y3" s="13">
        <v>22</v>
      </c>
      <c r="Z3" s="13">
        <v>23</v>
      </c>
      <c r="AA3" s="13">
        <v>24</v>
      </c>
      <c r="AB3" s="13">
        <v>25</v>
      </c>
      <c r="AC3" s="13">
        <v>26</v>
      </c>
      <c r="AD3" s="13">
        <v>27</v>
      </c>
      <c r="AE3" s="13">
        <v>28</v>
      </c>
      <c r="AF3" s="13">
        <v>29</v>
      </c>
      <c r="AG3" s="13">
        <v>30</v>
      </c>
      <c r="AH3" s="13">
        <v>31</v>
      </c>
      <c r="AI3" s="14" t="s">
        <v>3</v>
      </c>
      <c r="AJ3" s="10"/>
      <c r="AK3" s="35" t="s">
        <v>49</v>
      </c>
      <c r="AL3" s="36"/>
      <c r="AM3" s="36"/>
      <c r="AN3" s="36"/>
      <c r="AO3" s="37"/>
    </row>
    <row r="4" spans="1:41" ht="13.9" x14ac:dyDescent="0.25">
      <c r="A4" s="6">
        <v>1</v>
      </c>
      <c r="B4" s="1" t="s">
        <v>4</v>
      </c>
      <c r="C4" s="6">
        <v>29</v>
      </c>
      <c r="D4" s="7"/>
      <c r="E4" s="7"/>
      <c r="F4" s="7">
        <v>1</v>
      </c>
      <c r="G4" s="7"/>
      <c r="H4" s="7">
        <v>2</v>
      </c>
      <c r="I4" s="7"/>
      <c r="J4" s="7"/>
      <c r="K4" s="7"/>
      <c r="L4" s="7"/>
      <c r="M4" s="7"/>
      <c r="N4" s="7">
        <v>2</v>
      </c>
      <c r="O4" s="7">
        <v>1</v>
      </c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6">
        <f>C4-D4-E4-F4-G4-H4-I4-J4-K4-L4-M4-N4-O4</f>
        <v>23</v>
      </c>
      <c r="AJ4" s="10"/>
      <c r="AK4" s="2"/>
      <c r="AL4" s="2"/>
      <c r="AM4" s="2"/>
      <c r="AN4" s="2"/>
      <c r="AO4" s="2"/>
    </row>
    <row r="5" spans="1:41" ht="13.9" x14ac:dyDescent="0.25">
      <c r="A5" s="6">
        <v>2</v>
      </c>
      <c r="B5" s="1" t="s">
        <v>5</v>
      </c>
      <c r="C5" s="6">
        <v>49</v>
      </c>
      <c r="D5" s="7">
        <v>3</v>
      </c>
      <c r="E5" s="7"/>
      <c r="F5" s="7">
        <v>1</v>
      </c>
      <c r="G5" s="7"/>
      <c r="H5" s="7">
        <v>3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6">
        <f t="shared" ref="AI5:AI28" si="0">C5-D5-E5-F5-G5-H5-I5-J5-K5-L5-M5-N5-O5-P5-Q5-R5-S5-T5-U5-V5-W5-X5-Y5-Z5-AA5-AB5-AC5-AD5-AE5-AF5-AG5-AH5</f>
        <v>42</v>
      </c>
      <c r="AJ5" s="10"/>
      <c r="AK5" s="2"/>
      <c r="AL5" s="2"/>
      <c r="AM5" s="2"/>
      <c r="AN5" s="2"/>
      <c r="AO5" s="2"/>
    </row>
    <row r="6" spans="1:41" ht="13.9" x14ac:dyDescent="0.25">
      <c r="A6" s="6">
        <v>3</v>
      </c>
      <c r="B6" s="1" t="s">
        <v>6</v>
      </c>
      <c r="C6" s="3">
        <v>3</v>
      </c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6">
        <f t="shared" si="0"/>
        <v>3</v>
      </c>
      <c r="AJ6" s="10"/>
      <c r="AK6" s="2"/>
      <c r="AL6" s="2"/>
      <c r="AM6" s="2"/>
      <c r="AN6" s="2"/>
      <c r="AO6" s="2"/>
    </row>
    <row r="7" spans="1:41" ht="13.9" x14ac:dyDescent="0.25">
      <c r="A7" s="6">
        <v>4</v>
      </c>
      <c r="B7" s="1" t="s">
        <v>7</v>
      </c>
      <c r="C7" s="3">
        <v>1</v>
      </c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6">
        <f t="shared" si="0"/>
        <v>1</v>
      </c>
      <c r="AJ7" s="10"/>
      <c r="AK7" s="2"/>
      <c r="AL7" s="2"/>
      <c r="AM7" s="2"/>
      <c r="AN7" s="2"/>
      <c r="AO7" s="2"/>
    </row>
    <row r="8" spans="1:41" ht="13.9" x14ac:dyDescent="0.25">
      <c r="A8" s="6">
        <v>5</v>
      </c>
      <c r="B8" s="1" t="s">
        <v>8</v>
      </c>
      <c r="C8" s="3">
        <v>4</v>
      </c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6">
        <f t="shared" si="0"/>
        <v>4</v>
      </c>
      <c r="AJ8" s="10"/>
      <c r="AK8" s="2"/>
      <c r="AL8" s="2"/>
      <c r="AM8" s="2"/>
      <c r="AN8" s="2"/>
      <c r="AO8" s="2"/>
    </row>
    <row r="9" spans="1:41" ht="13.9" x14ac:dyDescent="0.25">
      <c r="A9" s="6">
        <v>6</v>
      </c>
      <c r="B9" s="1" t="s">
        <v>9</v>
      </c>
      <c r="C9" s="3">
        <v>7</v>
      </c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6">
        <f t="shared" si="0"/>
        <v>7</v>
      </c>
      <c r="AJ9" s="10"/>
      <c r="AK9" s="2"/>
      <c r="AL9" s="2"/>
      <c r="AM9" s="2"/>
      <c r="AN9" s="2"/>
      <c r="AO9" s="2"/>
    </row>
    <row r="10" spans="1:41" ht="13.9" x14ac:dyDescent="0.25">
      <c r="A10" s="6">
        <v>7</v>
      </c>
      <c r="B10" s="1" t="s">
        <v>10</v>
      </c>
      <c r="C10" s="3">
        <v>1</v>
      </c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6">
        <f t="shared" si="0"/>
        <v>1</v>
      </c>
      <c r="AJ10" s="10"/>
      <c r="AK10" s="2"/>
      <c r="AL10" s="2"/>
      <c r="AM10" s="2"/>
      <c r="AN10" s="2"/>
      <c r="AO10" s="2"/>
    </row>
    <row r="11" spans="1:41" ht="13.9" x14ac:dyDescent="0.25">
      <c r="A11" s="6">
        <v>8</v>
      </c>
      <c r="B11" s="1" t="s">
        <v>11</v>
      </c>
      <c r="C11" s="3">
        <v>1</v>
      </c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6">
        <f t="shared" si="0"/>
        <v>1</v>
      </c>
      <c r="AJ11" s="10"/>
      <c r="AK11" s="2"/>
      <c r="AL11" s="2"/>
      <c r="AM11" s="2"/>
      <c r="AN11" s="2"/>
      <c r="AO11" s="2"/>
    </row>
    <row r="12" spans="1:41" ht="13.9" x14ac:dyDescent="0.25">
      <c r="A12" s="6">
        <v>9</v>
      </c>
      <c r="B12" s="1" t="s">
        <v>12</v>
      </c>
      <c r="C12" s="3">
        <v>1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6">
        <f t="shared" si="0"/>
        <v>1</v>
      </c>
      <c r="AJ12" s="10"/>
      <c r="AK12" s="2"/>
      <c r="AL12" s="2"/>
      <c r="AM12" s="2"/>
      <c r="AN12" s="2"/>
      <c r="AO12" s="2"/>
    </row>
    <row r="13" spans="1:41" ht="13.9" x14ac:dyDescent="0.25">
      <c r="A13" s="6">
        <v>10</v>
      </c>
      <c r="B13" s="1" t="s">
        <v>13</v>
      </c>
      <c r="C13" s="3">
        <v>2</v>
      </c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6">
        <f t="shared" si="0"/>
        <v>2</v>
      </c>
      <c r="AJ13" s="10"/>
      <c r="AK13" s="2"/>
      <c r="AL13" s="2"/>
      <c r="AM13" s="2"/>
      <c r="AN13" s="2"/>
      <c r="AO13" s="2"/>
    </row>
    <row r="14" spans="1:41" ht="13.9" x14ac:dyDescent="0.25">
      <c r="A14" s="6">
        <v>11</v>
      </c>
      <c r="B14" s="1" t="s">
        <v>14</v>
      </c>
      <c r="C14" s="3">
        <v>3</v>
      </c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6">
        <f t="shared" si="0"/>
        <v>3</v>
      </c>
      <c r="AJ14" s="10"/>
      <c r="AK14" s="2"/>
      <c r="AL14" s="2"/>
      <c r="AM14" s="2"/>
      <c r="AN14" s="2"/>
      <c r="AO14" s="2"/>
    </row>
    <row r="15" spans="1:41" ht="13.9" x14ac:dyDescent="0.25">
      <c r="A15" s="6">
        <v>12</v>
      </c>
      <c r="B15" s="1" t="s">
        <v>15</v>
      </c>
      <c r="C15" s="3">
        <v>3</v>
      </c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6">
        <f t="shared" si="0"/>
        <v>3</v>
      </c>
      <c r="AJ15" s="10"/>
      <c r="AK15" s="2"/>
      <c r="AL15" s="2"/>
      <c r="AM15" s="2"/>
      <c r="AN15" s="2"/>
      <c r="AO15" s="2"/>
    </row>
    <row r="16" spans="1:41" ht="13.9" x14ac:dyDescent="0.25">
      <c r="A16" s="6">
        <v>13</v>
      </c>
      <c r="B16" s="1" t="s">
        <v>16</v>
      </c>
      <c r="C16" s="3">
        <v>1</v>
      </c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6">
        <f t="shared" si="0"/>
        <v>1</v>
      </c>
      <c r="AJ16" s="10"/>
      <c r="AK16" s="2"/>
      <c r="AL16" s="2"/>
      <c r="AM16" s="2"/>
      <c r="AN16" s="2"/>
      <c r="AO16" s="2"/>
    </row>
    <row r="17" spans="1:41" ht="13.9" x14ac:dyDescent="0.25">
      <c r="A17" s="6">
        <v>14</v>
      </c>
      <c r="B17" s="2" t="s">
        <v>17</v>
      </c>
      <c r="C17" s="3">
        <v>4</v>
      </c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6">
        <f t="shared" si="0"/>
        <v>4</v>
      </c>
      <c r="AJ17" s="10"/>
      <c r="AK17" s="2"/>
      <c r="AL17" s="2"/>
      <c r="AM17" s="2"/>
      <c r="AN17" s="2"/>
      <c r="AO17" s="2"/>
    </row>
    <row r="18" spans="1:41" ht="13.9" x14ac:dyDescent="0.25">
      <c r="A18" s="6">
        <v>15</v>
      </c>
      <c r="B18" s="2" t="s">
        <v>18</v>
      </c>
      <c r="C18" s="3">
        <v>2</v>
      </c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6">
        <f t="shared" si="0"/>
        <v>2</v>
      </c>
      <c r="AJ18" s="10"/>
      <c r="AK18" s="2"/>
      <c r="AL18" s="2"/>
      <c r="AM18" s="2"/>
      <c r="AN18" s="2"/>
      <c r="AO18" s="2"/>
    </row>
    <row r="19" spans="1:41" ht="13.9" x14ac:dyDescent="0.25">
      <c r="A19" s="6">
        <v>16</v>
      </c>
      <c r="B19" s="2" t="s">
        <v>19</v>
      </c>
      <c r="C19" s="3">
        <v>2</v>
      </c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6">
        <f t="shared" si="0"/>
        <v>2</v>
      </c>
      <c r="AJ19" s="10"/>
      <c r="AK19" s="2"/>
      <c r="AL19" s="2"/>
      <c r="AM19" s="2"/>
      <c r="AN19" s="2"/>
      <c r="AO19" s="2"/>
    </row>
    <row r="20" spans="1:41" ht="13.9" x14ac:dyDescent="0.25">
      <c r="A20" s="6">
        <v>17</v>
      </c>
      <c r="B20" s="2" t="s">
        <v>20</v>
      </c>
      <c r="C20" s="3">
        <v>1</v>
      </c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6">
        <f t="shared" si="0"/>
        <v>1</v>
      </c>
      <c r="AJ20" s="10"/>
      <c r="AK20" s="2"/>
      <c r="AL20" s="2"/>
      <c r="AM20" s="2"/>
      <c r="AN20" s="2"/>
      <c r="AO20" s="2"/>
    </row>
    <row r="21" spans="1:41" ht="13.9" x14ac:dyDescent="0.25">
      <c r="A21" s="6">
        <v>18</v>
      </c>
      <c r="B21" s="2" t="s">
        <v>159</v>
      </c>
      <c r="C21" s="3">
        <v>30</v>
      </c>
      <c r="D21" s="7"/>
      <c r="E21" s="7"/>
      <c r="F21" s="7"/>
      <c r="G21" s="7"/>
      <c r="H21" s="7"/>
      <c r="I21" s="7"/>
      <c r="J21" s="7">
        <v>1</v>
      </c>
      <c r="K21" s="7"/>
      <c r="L21" s="7"/>
      <c r="M21" s="7"/>
      <c r="N21" s="7"/>
      <c r="O21" s="7">
        <v>1</v>
      </c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6">
        <f t="shared" si="0"/>
        <v>28</v>
      </c>
      <c r="AJ21" s="10"/>
      <c r="AK21" s="32">
        <v>46151</v>
      </c>
      <c r="AL21" s="2"/>
      <c r="AM21" s="2"/>
      <c r="AN21" s="2"/>
      <c r="AO21" s="2"/>
    </row>
    <row r="22" spans="1:41" ht="13.9" x14ac:dyDescent="0.25">
      <c r="A22" s="6">
        <v>19</v>
      </c>
      <c r="B22" s="2" t="s">
        <v>50</v>
      </c>
      <c r="C22" s="3">
        <v>10</v>
      </c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6">
        <f t="shared" si="0"/>
        <v>10</v>
      </c>
      <c r="AJ22" s="10"/>
      <c r="AK22" s="33"/>
      <c r="AL22" s="2"/>
      <c r="AM22" s="2"/>
      <c r="AN22" s="2"/>
      <c r="AO22" s="2"/>
    </row>
    <row r="23" spans="1:41" ht="13.9" x14ac:dyDescent="0.25">
      <c r="A23" s="6">
        <v>20</v>
      </c>
      <c r="B23" s="2" t="s">
        <v>51</v>
      </c>
      <c r="C23" s="3">
        <v>14</v>
      </c>
      <c r="D23" s="7"/>
      <c r="E23" s="7"/>
      <c r="F23" s="7"/>
      <c r="G23" s="7"/>
      <c r="H23" s="7"/>
      <c r="I23" s="7"/>
      <c r="J23" s="7"/>
      <c r="K23" s="7"/>
      <c r="L23" s="7">
        <v>1</v>
      </c>
      <c r="M23" s="7"/>
      <c r="N23" s="7"/>
      <c r="O23" s="7">
        <v>2</v>
      </c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6">
        <f t="shared" si="0"/>
        <v>11</v>
      </c>
      <c r="AJ23" s="10"/>
      <c r="AK23" s="32">
        <v>46151</v>
      </c>
      <c r="AL23" s="2"/>
      <c r="AM23" s="2"/>
      <c r="AN23" s="2"/>
      <c r="AO23" s="2"/>
    </row>
    <row r="24" spans="1:41" ht="13.9" x14ac:dyDescent="0.25">
      <c r="A24" s="6">
        <v>21</v>
      </c>
      <c r="B24" s="2" t="s">
        <v>52</v>
      </c>
      <c r="C24" s="3">
        <v>2</v>
      </c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>
        <v>2</v>
      </c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6">
        <f t="shared" si="0"/>
        <v>0</v>
      </c>
      <c r="AJ24" s="10"/>
      <c r="AK24" s="2"/>
      <c r="AL24" s="2"/>
      <c r="AM24" s="2"/>
      <c r="AN24" s="2"/>
      <c r="AO24" s="2"/>
    </row>
    <row r="25" spans="1:41" ht="13.9" x14ac:dyDescent="0.25">
      <c r="A25" s="6">
        <v>22</v>
      </c>
      <c r="B25" s="2" t="s">
        <v>53</v>
      </c>
      <c r="C25" s="3">
        <v>9</v>
      </c>
      <c r="D25" s="7"/>
      <c r="E25" s="7"/>
      <c r="F25" s="7"/>
      <c r="G25" s="7"/>
      <c r="H25" s="7"/>
      <c r="I25" s="7"/>
      <c r="J25" s="7"/>
      <c r="K25" s="7">
        <v>6</v>
      </c>
      <c r="L25" s="7">
        <v>1</v>
      </c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6">
        <f t="shared" si="0"/>
        <v>2</v>
      </c>
      <c r="AJ25" s="10"/>
      <c r="AK25" s="2"/>
      <c r="AL25" s="2"/>
      <c r="AM25" s="2"/>
      <c r="AN25" s="2"/>
      <c r="AO25" s="2"/>
    </row>
    <row r="26" spans="1:41" ht="13.9" x14ac:dyDescent="0.25">
      <c r="A26" s="6">
        <v>23</v>
      </c>
      <c r="B26" s="2" t="s">
        <v>54</v>
      </c>
      <c r="C26" s="3">
        <v>8</v>
      </c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6">
        <f t="shared" si="0"/>
        <v>8</v>
      </c>
      <c r="AJ26" s="10"/>
      <c r="AK26" s="2"/>
      <c r="AL26" s="2"/>
      <c r="AM26" s="2"/>
      <c r="AN26" s="2"/>
      <c r="AO26" s="2"/>
    </row>
    <row r="27" spans="1:41" ht="13.9" x14ac:dyDescent="0.25">
      <c r="A27" s="6">
        <v>24</v>
      </c>
      <c r="B27" s="2" t="s">
        <v>55</v>
      </c>
      <c r="C27" s="3">
        <v>7</v>
      </c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6">
        <f t="shared" si="0"/>
        <v>7</v>
      </c>
      <c r="AJ27" s="10"/>
      <c r="AK27" s="2"/>
      <c r="AL27" s="2"/>
      <c r="AM27" s="2"/>
      <c r="AN27" s="2"/>
      <c r="AO27" s="2"/>
    </row>
    <row r="28" spans="1:41" ht="13.9" x14ac:dyDescent="0.25">
      <c r="A28" s="6">
        <v>25</v>
      </c>
      <c r="B28" s="2" t="s">
        <v>56</v>
      </c>
      <c r="C28" s="6">
        <v>4</v>
      </c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6">
        <f t="shared" si="0"/>
        <v>4</v>
      </c>
      <c r="AJ28" s="10"/>
      <c r="AK28" s="2"/>
      <c r="AL28" s="2"/>
      <c r="AM28" s="2"/>
      <c r="AN28" s="2"/>
      <c r="AO28" s="2"/>
    </row>
    <row r="29" spans="1:41" ht="13.9" x14ac:dyDescent="0.25">
      <c r="A29" s="10"/>
      <c r="AI29" s="10"/>
      <c r="AJ29" s="10"/>
    </row>
    <row r="30" spans="1:41" ht="13.9" x14ac:dyDescent="0.25">
      <c r="A30" s="10"/>
      <c r="B30" s="9">
        <f>B31</f>
        <v>0</v>
      </c>
    </row>
    <row r="31" spans="1:41" ht="13.9" x14ac:dyDescent="0.25">
      <c r="A31" s="10"/>
    </row>
    <row r="32" spans="1:41" ht="13.9" x14ac:dyDescent="0.25">
      <c r="A32" s="10"/>
    </row>
    <row r="33" spans="1:41" ht="13.9" x14ac:dyDescent="0.25">
      <c r="A33" s="38" t="s">
        <v>23</v>
      </c>
      <c r="B33" s="38"/>
    </row>
    <row r="34" spans="1:41" x14ac:dyDescent="0.25">
      <c r="A34" s="12" t="s">
        <v>0</v>
      </c>
      <c r="B34" s="12" t="s">
        <v>1</v>
      </c>
      <c r="C34" s="14" t="s">
        <v>2</v>
      </c>
      <c r="D34" s="13">
        <v>1</v>
      </c>
      <c r="E34" s="13">
        <v>2</v>
      </c>
      <c r="F34" s="13">
        <v>3</v>
      </c>
      <c r="G34" s="13">
        <v>4</v>
      </c>
      <c r="H34" s="13">
        <v>5</v>
      </c>
      <c r="I34" s="13">
        <v>6</v>
      </c>
      <c r="J34" s="13">
        <v>7</v>
      </c>
      <c r="K34" s="13">
        <v>8</v>
      </c>
      <c r="L34" s="13">
        <v>9</v>
      </c>
      <c r="M34" s="13">
        <v>10</v>
      </c>
      <c r="N34" s="13">
        <v>11</v>
      </c>
      <c r="O34" s="13">
        <v>12</v>
      </c>
      <c r="P34" s="13">
        <v>13</v>
      </c>
      <c r="Q34" s="13">
        <v>14</v>
      </c>
      <c r="R34" s="13">
        <v>15</v>
      </c>
      <c r="S34" s="13">
        <v>16</v>
      </c>
      <c r="T34" s="13">
        <v>17</v>
      </c>
      <c r="U34" s="13">
        <v>18</v>
      </c>
      <c r="V34" s="13">
        <v>19</v>
      </c>
      <c r="W34" s="13">
        <v>20</v>
      </c>
      <c r="X34" s="13">
        <v>21</v>
      </c>
      <c r="Y34" s="13">
        <v>22</v>
      </c>
      <c r="Z34" s="13">
        <v>23</v>
      </c>
      <c r="AA34" s="13">
        <v>24</v>
      </c>
      <c r="AB34" s="13">
        <v>25</v>
      </c>
      <c r="AC34" s="13">
        <v>26</v>
      </c>
      <c r="AD34" s="13">
        <v>27</v>
      </c>
      <c r="AE34" s="13">
        <v>28</v>
      </c>
      <c r="AF34" s="13">
        <v>29</v>
      </c>
      <c r="AG34" s="13">
        <v>30</v>
      </c>
      <c r="AH34" s="13">
        <v>31</v>
      </c>
      <c r="AI34" s="14" t="s">
        <v>3</v>
      </c>
      <c r="AJ34" s="10"/>
      <c r="AK34" s="35" t="s">
        <v>49</v>
      </c>
      <c r="AL34" s="36"/>
      <c r="AM34" s="36"/>
      <c r="AN34" s="36"/>
      <c r="AO34" s="37"/>
    </row>
    <row r="35" spans="1:41" x14ac:dyDescent="0.25">
      <c r="A35" s="6">
        <v>1</v>
      </c>
      <c r="B35" s="1" t="s">
        <v>24</v>
      </c>
      <c r="C35" s="6">
        <v>4</v>
      </c>
      <c r="D35" s="7">
        <v>1</v>
      </c>
      <c r="E35" s="7"/>
      <c r="F35" s="7">
        <v>1</v>
      </c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6">
        <f>C35-D35-E35-F35-G35-H35-I35-J35-K35-L35-M35-N35-O35-P35-Q35-R35-S35-T35-U35-V35-W35-X35-Y35-Z35-AA35-AB35-AC35-AD35-AE35-AF35-AG35-AH35</f>
        <v>2</v>
      </c>
      <c r="AJ35" s="10"/>
      <c r="AK35" s="2"/>
      <c r="AL35" s="2"/>
      <c r="AM35" s="2"/>
      <c r="AN35" s="2"/>
      <c r="AO35" s="2"/>
    </row>
    <row r="36" spans="1:41" x14ac:dyDescent="0.25">
      <c r="A36" s="6">
        <v>2</v>
      </c>
      <c r="B36" s="1" t="s">
        <v>25</v>
      </c>
      <c r="C36" s="6">
        <v>4</v>
      </c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6">
        <f t="shared" ref="AI36:AI47" si="1">C36-D36-E36-F36-G36-H36-I36-J36-K36-L36-M36-N36-O36-P36-Q36-R36-S36-T36-U36-V36-W36-X36-Y36-Z36-AA36-AB36-AC36-AD36-AE36-AF36-AG36-AH36</f>
        <v>4</v>
      </c>
      <c r="AJ36" s="10"/>
      <c r="AK36" s="2"/>
      <c r="AL36" s="2"/>
      <c r="AM36" s="2"/>
      <c r="AN36" s="2"/>
      <c r="AO36" s="2"/>
    </row>
    <row r="37" spans="1:41" x14ac:dyDescent="0.25">
      <c r="A37" s="6">
        <v>3</v>
      </c>
      <c r="B37" s="1" t="s">
        <v>26</v>
      </c>
      <c r="C37" s="6">
        <v>2</v>
      </c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6">
        <f t="shared" si="1"/>
        <v>2</v>
      </c>
      <c r="AJ37" s="10"/>
      <c r="AK37" s="2"/>
      <c r="AL37" s="2"/>
      <c r="AM37" s="2"/>
      <c r="AN37" s="2"/>
      <c r="AO37" s="2"/>
    </row>
    <row r="38" spans="1:41" x14ac:dyDescent="0.25">
      <c r="A38" s="6">
        <v>4</v>
      </c>
      <c r="B38" s="2" t="s">
        <v>27</v>
      </c>
      <c r="C38" s="10">
        <v>3</v>
      </c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6">
        <f t="shared" si="1"/>
        <v>3</v>
      </c>
      <c r="AJ38" s="10"/>
      <c r="AK38" s="2"/>
      <c r="AL38" s="2"/>
      <c r="AM38" s="2"/>
      <c r="AN38" s="2"/>
      <c r="AO38" s="2"/>
    </row>
    <row r="39" spans="1:41" x14ac:dyDescent="0.25">
      <c r="A39" s="6">
        <v>5</v>
      </c>
      <c r="B39" s="2" t="s">
        <v>28</v>
      </c>
      <c r="C39" s="6">
        <v>4</v>
      </c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6">
        <f t="shared" si="1"/>
        <v>4</v>
      </c>
      <c r="AJ39" s="10"/>
      <c r="AK39" s="2"/>
      <c r="AL39" s="2"/>
      <c r="AM39" s="2"/>
      <c r="AN39" s="2"/>
      <c r="AO39" s="2"/>
    </row>
    <row r="40" spans="1:41" x14ac:dyDescent="0.25">
      <c r="A40" s="6">
        <v>6</v>
      </c>
      <c r="B40" s="2" t="s">
        <v>29</v>
      </c>
      <c r="C40" s="6">
        <v>2</v>
      </c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6">
        <f t="shared" si="1"/>
        <v>2</v>
      </c>
      <c r="AJ40" s="10"/>
      <c r="AK40" s="2"/>
      <c r="AL40" s="2"/>
      <c r="AM40" s="2"/>
      <c r="AN40" s="2"/>
      <c r="AO40" s="2"/>
    </row>
    <row r="41" spans="1:41" x14ac:dyDescent="0.25">
      <c r="A41" s="6"/>
      <c r="B41" s="2" t="s">
        <v>171</v>
      </c>
      <c r="C41" s="6">
        <v>1</v>
      </c>
      <c r="D41" s="7"/>
      <c r="E41" s="7"/>
      <c r="F41" s="7"/>
      <c r="G41" s="7"/>
      <c r="H41" s="7"/>
      <c r="I41" s="7"/>
      <c r="J41" s="7"/>
      <c r="K41" s="7">
        <v>1</v>
      </c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6">
        <f t="shared" si="1"/>
        <v>0</v>
      </c>
      <c r="AJ41" s="10"/>
      <c r="AK41" s="2"/>
      <c r="AL41" s="2"/>
      <c r="AM41" s="2"/>
      <c r="AN41" s="2"/>
      <c r="AO41" s="2"/>
    </row>
    <row r="42" spans="1:41" x14ac:dyDescent="0.25">
      <c r="A42" s="6">
        <v>7</v>
      </c>
      <c r="B42" s="2" t="s">
        <v>57</v>
      </c>
      <c r="C42" s="6">
        <v>0</v>
      </c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6">
        <f t="shared" si="1"/>
        <v>0</v>
      </c>
      <c r="AJ42" s="10"/>
      <c r="AK42" s="2"/>
      <c r="AL42" s="2"/>
      <c r="AM42" s="2"/>
      <c r="AN42" s="2"/>
      <c r="AO42" s="2"/>
    </row>
    <row r="43" spans="1:41" x14ac:dyDescent="0.25">
      <c r="A43" s="6">
        <v>8</v>
      </c>
      <c r="B43" s="2" t="s">
        <v>58</v>
      </c>
      <c r="C43" s="6">
        <v>1</v>
      </c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6">
        <f t="shared" si="1"/>
        <v>1</v>
      </c>
      <c r="AJ43" s="10"/>
      <c r="AK43" s="2"/>
      <c r="AL43" s="2"/>
      <c r="AM43" s="2"/>
      <c r="AN43" s="2"/>
      <c r="AO43" s="2"/>
    </row>
    <row r="44" spans="1:41" x14ac:dyDescent="0.25">
      <c r="A44" s="6">
        <v>9</v>
      </c>
      <c r="B44" s="2" t="s">
        <v>59</v>
      </c>
      <c r="C44" s="6">
        <v>1</v>
      </c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6">
        <f t="shared" si="1"/>
        <v>1</v>
      </c>
      <c r="AJ44" s="10"/>
      <c r="AK44" s="2"/>
      <c r="AL44" s="2"/>
      <c r="AM44" s="2"/>
      <c r="AN44" s="2"/>
      <c r="AO44" s="2"/>
    </row>
    <row r="45" spans="1:41" x14ac:dyDescent="0.25">
      <c r="A45" s="6">
        <v>10</v>
      </c>
      <c r="B45" s="2" t="s">
        <v>30</v>
      </c>
      <c r="C45" s="6">
        <v>0</v>
      </c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6">
        <f t="shared" si="1"/>
        <v>0</v>
      </c>
      <c r="AJ45" s="10"/>
      <c r="AK45" s="2"/>
      <c r="AL45" s="2"/>
      <c r="AM45" s="2"/>
      <c r="AN45" s="2"/>
      <c r="AO45" s="2"/>
    </row>
    <row r="46" spans="1:41" x14ac:dyDescent="0.25">
      <c r="A46" s="6">
        <v>11</v>
      </c>
      <c r="B46" s="2" t="s">
        <v>31</v>
      </c>
      <c r="C46" s="6">
        <v>0</v>
      </c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6">
        <f t="shared" si="1"/>
        <v>0</v>
      </c>
      <c r="AJ46" s="10"/>
      <c r="AK46" s="2"/>
      <c r="AL46" s="2"/>
      <c r="AM46" s="2"/>
      <c r="AN46" s="2"/>
      <c r="AO46" s="2"/>
    </row>
    <row r="47" spans="1:41" x14ac:dyDescent="0.25">
      <c r="A47" s="6">
        <v>12</v>
      </c>
      <c r="B47" s="2" t="s">
        <v>32</v>
      </c>
      <c r="C47" s="6">
        <v>0</v>
      </c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6">
        <f t="shared" si="1"/>
        <v>0</v>
      </c>
      <c r="AJ47" s="10"/>
      <c r="AK47" s="2"/>
      <c r="AL47" s="2"/>
      <c r="AM47" s="2"/>
      <c r="AN47" s="2"/>
      <c r="AO47" s="2"/>
    </row>
    <row r="48" spans="1:41" x14ac:dyDescent="0.25">
      <c r="A48" s="10"/>
    </row>
    <row r="49" spans="1:41" x14ac:dyDescent="0.25">
      <c r="A49" s="10"/>
    </row>
    <row r="50" spans="1:41" x14ac:dyDescent="0.25">
      <c r="A50" s="10"/>
    </row>
    <row r="51" spans="1:41" x14ac:dyDescent="0.25">
      <c r="A51" s="10"/>
    </row>
    <row r="52" spans="1:41" x14ac:dyDescent="0.25">
      <c r="A52" s="39" t="s">
        <v>73</v>
      </c>
      <c r="B52" s="39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7"/>
      <c r="AJ52" s="17"/>
    </row>
    <row r="53" spans="1:41" x14ac:dyDescent="0.25">
      <c r="A53" s="18" t="s">
        <v>0</v>
      </c>
      <c r="B53" s="19" t="s">
        <v>1</v>
      </c>
      <c r="C53" s="20" t="s">
        <v>2</v>
      </c>
      <c r="D53" s="21">
        <v>1</v>
      </c>
      <c r="E53" s="21">
        <v>2</v>
      </c>
      <c r="F53" s="21">
        <v>3</v>
      </c>
      <c r="G53" s="21">
        <v>4</v>
      </c>
      <c r="H53" s="21">
        <v>5</v>
      </c>
      <c r="I53" s="21">
        <v>6</v>
      </c>
      <c r="J53" s="21">
        <v>7</v>
      </c>
      <c r="K53" s="21">
        <v>8</v>
      </c>
      <c r="L53" s="21">
        <v>9</v>
      </c>
      <c r="M53" s="21">
        <v>10</v>
      </c>
      <c r="N53" s="21">
        <v>11</v>
      </c>
      <c r="O53" s="21">
        <v>12</v>
      </c>
      <c r="P53" s="21">
        <v>13</v>
      </c>
      <c r="Q53" s="21">
        <v>14</v>
      </c>
      <c r="R53" s="21">
        <v>15</v>
      </c>
      <c r="S53" s="21">
        <v>16</v>
      </c>
      <c r="T53" s="21">
        <v>17</v>
      </c>
      <c r="U53" s="21">
        <v>18</v>
      </c>
      <c r="V53" s="21">
        <v>19</v>
      </c>
      <c r="W53" s="21">
        <v>20</v>
      </c>
      <c r="X53" s="21">
        <v>21</v>
      </c>
      <c r="Y53" s="21">
        <v>22</v>
      </c>
      <c r="Z53" s="21">
        <v>23</v>
      </c>
      <c r="AA53" s="21">
        <v>24</v>
      </c>
      <c r="AB53" s="21">
        <v>25</v>
      </c>
      <c r="AC53" s="21">
        <v>26</v>
      </c>
      <c r="AD53" s="21">
        <v>27</v>
      </c>
      <c r="AE53" s="21">
        <v>28</v>
      </c>
      <c r="AF53" s="21">
        <v>29</v>
      </c>
      <c r="AG53" s="21">
        <v>30</v>
      </c>
      <c r="AH53" s="21">
        <v>31</v>
      </c>
      <c r="AI53" s="22" t="s">
        <v>3</v>
      </c>
      <c r="AJ53" s="15"/>
      <c r="AK53" s="35" t="s">
        <v>49</v>
      </c>
      <c r="AL53" s="36"/>
      <c r="AM53" s="36"/>
      <c r="AN53" s="36"/>
      <c r="AO53" s="37"/>
    </row>
    <row r="54" spans="1:41" x14ac:dyDescent="0.25">
      <c r="A54" s="23">
        <v>1</v>
      </c>
      <c r="B54" s="1" t="s">
        <v>33</v>
      </c>
      <c r="C54" s="24">
        <v>7</v>
      </c>
      <c r="D54" s="25">
        <v>1</v>
      </c>
      <c r="E54" s="25"/>
      <c r="F54" s="25">
        <v>1</v>
      </c>
      <c r="G54" s="25"/>
      <c r="H54" s="25"/>
      <c r="I54" s="25"/>
      <c r="J54" s="25">
        <v>1</v>
      </c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5">
        <f>C54-D54-E54-F54-G54-H54-I54-J54-K54-L54-M54-N54-O54-P54-Q54-R54-S54-T54-U54-V54-W54-X54-Y54-Z54-AA54-AB54-AC54-AD54-AE54-AF54-AG54-AH54</f>
        <v>4</v>
      </c>
      <c r="AJ54" s="15"/>
      <c r="AK54" s="2"/>
      <c r="AL54" s="2"/>
      <c r="AM54" s="2"/>
      <c r="AN54" s="2"/>
      <c r="AO54" s="2"/>
    </row>
    <row r="55" spans="1:41" x14ac:dyDescent="0.25">
      <c r="A55" s="23">
        <v>2</v>
      </c>
      <c r="B55" s="1" t="s">
        <v>34</v>
      </c>
      <c r="C55" s="24">
        <v>11</v>
      </c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5">
        <f t="shared" ref="AI55:AI97" si="2">C55-D55-E55-F55-G55-H55-I55-J55-K55-L55-M55-N55-O55-P55-Q55-R55-S55-T55-U55-V55-W55-X55-Y55-Z55-AA55-AB55-AC55-AD55-AE55-AF55-AG55-AH55</f>
        <v>11</v>
      </c>
      <c r="AJ55" s="15"/>
      <c r="AK55" s="2"/>
      <c r="AL55" s="2"/>
      <c r="AM55" s="2"/>
      <c r="AN55" s="2"/>
      <c r="AO55" s="2"/>
    </row>
    <row r="56" spans="1:41" x14ac:dyDescent="0.25">
      <c r="A56" s="23">
        <v>3</v>
      </c>
      <c r="B56" s="1" t="s">
        <v>35</v>
      </c>
      <c r="C56" s="24">
        <v>3</v>
      </c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5">
        <f t="shared" si="2"/>
        <v>3</v>
      </c>
      <c r="AJ56" s="15"/>
      <c r="AK56" s="2"/>
      <c r="AL56" s="2"/>
      <c r="AM56" s="2"/>
      <c r="AN56" s="2"/>
      <c r="AO56" s="2"/>
    </row>
    <row r="57" spans="1:41" x14ac:dyDescent="0.25">
      <c r="A57" s="23">
        <v>4</v>
      </c>
      <c r="B57" s="1" t="s">
        <v>36</v>
      </c>
      <c r="C57" s="24">
        <v>8</v>
      </c>
      <c r="D57" s="25"/>
      <c r="E57" s="25"/>
      <c r="F57" s="25"/>
      <c r="G57" s="25"/>
      <c r="H57" s="25"/>
      <c r="I57" s="25"/>
      <c r="J57" s="25">
        <v>1</v>
      </c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5">
        <f t="shared" si="2"/>
        <v>7</v>
      </c>
      <c r="AJ57" s="15"/>
      <c r="AK57" s="2"/>
      <c r="AL57" s="2"/>
      <c r="AM57" s="2"/>
      <c r="AN57" s="2"/>
      <c r="AO57" s="2"/>
    </row>
    <row r="58" spans="1:41" x14ac:dyDescent="0.25">
      <c r="A58" s="23">
        <v>5</v>
      </c>
      <c r="B58" s="1" t="s">
        <v>37</v>
      </c>
      <c r="C58" s="24">
        <v>10</v>
      </c>
      <c r="D58" s="25"/>
      <c r="E58" s="25"/>
      <c r="F58" s="25"/>
      <c r="G58" s="25"/>
      <c r="H58" s="25"/>
      <c r="I58" s="25"/>
      <c r="J58" s="25"/>
      <c r="K58" s="25"/>
      <c r="L58" s="25"/>
      <c r="M58" s="25">
        <v>1</v>
      </c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5">
        <f t="shared" si="2"/>
        <v>9</v>
      </c>
      <c r="AJ58" s="15"/>
      <c r="AK58" s="2"/>
      <c r="AL58" s="2"/>
      <c r="AM58" s="2"/>
      <c r="AN58" s="2"/>
      <c r="AO58" s="2"/>
    </row>
    <row r="59" spans="1:41" x14ac:dyDescent="0.25">
      <c r="A59" s="23">
        <v>6</v>
      </c>
      <c r="B59" s="1" t="s">
        <v>38</v>
      </c>
      <c r="C59" s="24">
        <v>13</v>
      </c>
      <c r="D59" s="25">
        <v>3</v>
      </c>
      <c r="E59" s="25"/>
      <c r="F59" s="25">
        <v>2</v>
      </c>
      <c r="G59" s="25"/>
      <c r="H59" s="25"/>
      <c r="I59" s="25"/>
      <c r="J59" s="25"/>
      <c r="K59" s="25"/>
      <c r="L59" s="25"/>
      <c r="M59" s="25"/>
      <c r="N59" s="25">
        <v>1</v>
      </c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5">
        <f>C59-D59-E59-F59-G59-H59-I59-J59-K59-L59-M59-N59-O59-P59-Q59-R59-S59-T59-U59-V59-W59-X59-Y59-Z59-AA59-AB59-AC59-AD59-AE59-AF59-AG59-AH59</f>
        <v>7</v>
      </c>
      <c r="AJ59" s="15"/>
      <c r="AK59" s="2"/>
      <c r="AL59" s="2"/>
      <c r="AM59" s="2"/>
      <c r="AN59" s="2"/>
      <c r="AO59" s="2"/>
    </row>
    <row r="60" spans="1:41" x14ac:dyDescent="0.25">
      <c r="A60" s="23">
        <v>7</v>
      </c>
      <c r="B60" s="1" t="s">
        <v>76</v>
      </c>
      <c r="C60" s="24">
        <v>68</v>
      </c>
      <c r="D60" s="25">
        <v>3</v>
      </c>
      <c r="E60" s="25">
        <v>2</v>
      </c>
      <c r="F60" s="25">
        <v>2</v>
      </c>
      <c r="G60" s="25"/>
      <c r="H60" s="25">
        <v>9</v>
      </c>
      <c r="I60" s="25"/>
      <c r="J60" s="25">
        <v>1</v>
      </c>
      <c r="K60" s="25">
        <v>3</v>
      </c>
      <c r="L60" s="25">
        <v>1</v>
      </c>
      <c r="M60" s="25"/>
      <c r="N60" s="25">
        <v>1</v>
      </c>
      <c r="O60" s="25">
        <v>2</v>
      </c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5">
        <f t="shared" si="2"/>
        <v>44</v>
      </c>
      <c r="AJ60" s="15"/>
      <c r="AK60" s="2"/>
      <c r="AL60" s="2"/>
      <c r="AM60" s="2"/>
      <c r="AN60" s="2"/>
      <c r="AO60" s="2"/>
    </row>
    <row r="61" spans="1:41" x14ac:dyDescent="0.25">
      <c r="A61" s="23">
        <v>8</v>
      </c>
      <c r="B61" s="1" t="s">
        <v>75</v>
      </c>
      <c r="C61" s="24">
        <v>26</v>
      </c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5">
        <f t="shared" si="2"/>
        <v>26</v>
      </c>
      <c r="AJ61" s="15"/>
      <c r="AK61" s="2"/>
      <c r="AL61" s="2"/>
      <c r="AM61" s="2"/>
      <c r="AN61" s="2"/>
      <c r="AO61" s="2"/>
    </row>
    <row r="62" spans="1:41" x14ac:dyDescent="0.25">
      <c r="A62" s="23">
        <v>9</v>
      </c>
      <c r="B62" s="1" t="s">
        <v>39</v>
      </c>
      <c r="C62" s="24">
        <v>18</v>
      </c>
      <c r="D62" s="25"/>
      <c r="E62" s="25"/>
      <c r="F62" s="25"/>
      <c r="G62" s="25"/>
      <c r="H62" s="25"/>
      <c r="I62" s="25"/>
      <c r="J62" s="25"/>
      <c r="K62" s="25">
        <v>1</v>
      </c>
      <c r="L62" s="25">
        <v>1</v>
      </c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5">
        <f t="shared" si="2"/>
        <v>16</v>
      </c>
      <c r="AJ62" s="15"/>
      <c r="AK62" s="2"/>
      <c r="AL62" s="2"/>
      <c r="AM62" s="2"/>
      <c r="AN62" s="2"/>
      <c r="AO62" s="2"/>
    </row>
    <row r="63" spans="1:41" x14ac:dyDescent="0.25">
      <c r="A63" s="23">
        <v>10</v>
      </c>
      <c r="B63" s="1" t="s">
        <v>40</v>
      </c>
      <c r="C63" s="24">
        <v>900</v>
      </c>
      <c r="D63" s="25">
        <v>128</v>
      </c>
      <c r="E63" s="25">
        <v>300</v>
      </c>
      <c r="F63" s="25"/>
      <c r="G63" s="25"/>
      <c r="H63" s="25">
        <v>329</v>
      </c>
      <c r="I63" s="25"/>
      <c r="J63" s="25"/>
      <c r="K63" s="25">
        <v>123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5">
        <f t="shared" si="2"/>
        <v>20</v>
      </c>
      <c r="AJ63" s="15"/>
      <c r="AK63" s="2"/>
      <c r="AL63" s="2"/>
      <c r="AM63" s="2"/>
      <c r="AN63" s="2"/>
      <c r="AO63" s="2"/>
    </row>
    <row r="64" spans="1:41" x14ac:dyDescent="0.25">
      <c r="A64" s="23">
        <v>11</v>
      </c>
      <c r="B64" s="1" t="s">
        <v>41</v>
      </c>
      <c r="C64" s="24">
        <v>1800</v>
      </c>
      <c r="D64" s="25"/>
      <c r="E64" s="25"/>
      <c r="F64" s="25">
        <v>37</v>
      </c>
      <c r="G64" s="7"/>
      <c r="H64" s="25"/>
      <c r="I64" s="25"/>
      <c r="J64" s="25"/>
      <c r="K64" s="25"/>
      <c r="L64" s="25"/>
      <c r="M64" s="25"/>
      <c r="N64" s="25">
        <v>21</v>
      </c>
      <c r="O64" s="25">
        <v>85</v>
      </c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5">
        <f>C64-D64-E64--F64-H64-I64-J64-K64-L64-M64-N64-O64-P64-Q64-R64-S64-T64-U64-V64-W64-X64-Y64-Z64-AA64-AB64-AC64-AD64-AE64-AF64-AG64-AH64</f>
        <v>1731</v>
      </c>
      <c r="AJ64" s="15"/>
      <c r="AK64" s="2"/>
      <c r="AL64" s="2"/>
      <c r="AM64" s="2"/>
      <c r="AN64" s="2"/>
      <c r="AO64" s="2"/>
    </row>
    <row r="65" spans="1:41" x14ac:dyDescent="0.25">
      <c r="A65" s="23"/>
      <c r="B65" s="1" t="s">
        <v>172</v>
      </c>
      <c r="C65" s="24">
        <v>200</v>
      </c>
      <c r="D65" s="25"/>
      <c r="E65" s="25"/>
      <c r="F65" s="25"/>
      <c r="G65" s="7"/>
      <c r="H65" s="25"/>
      <c r="I65" s="25"/>
      <c r="J65" s="25"/>
      <c r="K65" s="25">
        <v>16</v>
      </c>
      <c r="L65" s="25"/>
      <c r="M65" s="25"/>
      <c r="N65" s="25">
        <v>11</v>
      </c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5">
        <f t="shared" ref="AI65:AI74" si="3">C65-D65-E65--F65-H65-I65-J65-K65-L65-M65-N65-O65-P65-Q65-R65-S65-T65-U65-V65-W65-X65-Y65-Z65-AA65-AB65-AC65-AD65-AE65-AF65-AG65-AH65</f>
        <v>173</v>
      </c>
      <c r="AJ65" s="15"/>
      <c r="AK65" s="2"/>
      <c r="AL65" s="2"/>
      <c r="AM65" s="2"/>
      <c r="AN65" s="2"/>
      <c r="AO65" s="2"/>
    </row>
    <row r="66" spans="1:41" x14ac:dyDescent="0.25">
      <c r="A66" s="23">
        <v>12</v>
      </c>
      <c r="B66" s="1" t="s">
        <v>42</v>
      </c>
      <c r="C66" s="24">
        <v>600</v>
      </c>
      <c r="D66" s="25"/>
      <c r="E66" s="25"/>
      <c r="F66" s="25"/>
      <c r="G66" s="26"/>
      <c r="H66" s="25">
        <v>45</v>
      </c>
      <c r="I66" s="25"/>
      <c r="J66" s="25"/>
      <c r="K66" s="25"/>
      <c r="L66" s="25"/>
      <c r="M66" s="25"/>
      <c r="N66" s="25"/>
      <c r="O66" s="25">
        <v>189</v>
      </c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5">
        <f t="shared" si="3"/>
        <v>366</v>
      </c>
      <c r="AJ66" s="15"/>
      <c r="AK66" s="2"/>
      <c r="AL66" s="2"/>
      <c r="AM66" s="2"/>
      <c r="AN66" s="2"/>
      <c r="AO66" s="2"/>
    </row>
    <row r="67" spans="1:41" x14ac:dyDescent="0.25">
      <c r="A67" s="23">
        <v>13</v>
      </c>
      <c r="B67" s="1" t="s">
        <v>43</v>
      </c>
      <c r="C67" s="24">
        <v>900</v>
      </c>
      <c r="D67" s="25">
        <v>9</v>
      </c>
      <c r="E67" s="25"/>
      <c r="F67" s="25"/>
      <c r="G67" s="25"/>
      <c r="H67" s="25">
        <v>325</v>
      </c>
      <c r="I67" s="25"/>
      <c r="J67" s="25"/>
      <c r="K67" s="25"/>
      <c r="L67" s="25">
        <v>102</v>
      </c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5">
        <f t="shared" si="3"/>
        <v>464</v>
      </c>
      <c r="AJ67" s="15"/>
      <c r="AK67" s="2"/>
      <c r="AL67" s="2"/>
      <c r="AM67" s="2"/>
      <c r="AN67" s="2"/>
      <c r="AO67" s="2"/>
    </row>
    <row r="68" spans="1:41" x14ac:dyDescent="0.25">
      <c r="A68" s="23"/>
      <c r="B68" s="1" t="s">
        <v>170</v>
      </c>
      <c r="C68" s="24">
        <v>300</v>
      </c>
      <c r="D68" s="25"/>
      <c r="E68" s="25"/>
      <c r="F68" s="25"/>
      <c r="G68" s="25"/>
      <c r="H68" s="25">
        <v>2</v>
      </c>
      <c r="I68" s="25"/>
      <c r="J68" s="25"/>
      <c r="K68" s="25"/>
      <c r="L68" s="25">
        <v>8</v>
      </c>
      <c r="M68" s="25">
        <v>4</v>
      </c>
      <c r="N68" s="25"/>
      <c r="O68" s="25">
        <v>4</v>
      </c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5">
        <f t="shared" si="3"/>
        <v>282</v>
      </c>
      <c r="AJ68" s="15"/>
      <c r="AK68" s="2"/>
      <c r="AL68" s="2"/>
      <c r="AM68" s="2"/>
      <c r="AN68" s="2"/>
      <c r="AO68" s="2"/>
    </row>
    <row r="69" spans="1:41" x14ac:dyDescent="0.25">
      <c r="A69" s="23">
        <v>14</v>
      </c>
      <c r="B69" s="1" t="s">
        <v>160</v>
      </c>
      <c r="C69" s="24">
        <v>200</v>
      </c>
      <c r="D69" s="25"/>
      <c r="E69" s="25"/>
      <c r="F69" s="25"/>
      <c r="G69" s="25"/>
      <c r="H69" s="25"/>
      <c r="I69" s="25"/>
      <c r="J69" s="25">
        <v>9</v>
      </c>
      <c r="K69" s="25">
        <v>37</v>
      </c>
      <c r="L69" s="25"/>
      <c r="M69" s="25"/>
      <c r="N69" s="25"/>
      <c r="O69" s="25">
        <v>37</v>
      </c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5">
        <f t="shared" si="3"/>
        <v>117</v>
      </c>
      <c r="AJ69" s="15"/>
      <c r="AK69" s="2"/>
      <c r="AL69" s="2"/>
      <c r="AM69" s="2"/>
      <c r="AN69" s="2"/>
      <c r="AO69" s="2"/>
    </row>
    <row r="70" spans="1:41" x14ac:dyDescent="0.25">
      <c r="A70" s="23">
        <v>15</v>
      </c>
      <c r="B70" s="1" t="s">
        <v>161</v>
      </c>
      <c r="C70" s="24">
        <v>0</v>
      </c>
      <c r="D70" s="25"/>
      <c r="E70" s="25"/>
      <c r="F70" s="25"/>
      <c r="G70" s="25"/>
      <c r="H70" s="25"/>
      <c r="I70" s="25"/>
      <c r="J70" s="25"/>
      <c r="K70" s="25"/>
      <c r="L70" s="25">
        <v>5</v>
      </c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5">
        <f t="shared" si="3"/>
        <v>-5</v>
      </c>
      <c r="AJ70" s="15"/>
      <c r="AK70" s="2"/>
      <c r="AL70" s="2"/>
      <c r="AM70" s="2"/>
      <c r="AN70" s="2"/>
      <c r="AO70" s="2"/>
    </row>
    <row r="71" spans="1:41" x14ac:dyDescent="0.25">
      <c r="A71" s="23">
        <v>16</v>
      </c>
      <c r="B71" s="1" t="s">
        <v>162</v>
      </c>
      <c r="C71" s="24">
        <v>0</v>
      </c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5">
        <f t="shared" si="3"/>
        <v>0</v>
      </c>
      <c r="AJ71" s="15"/>
      <c r="AK71" s="2"/>
      <c r="AL71" s="2"/>
      <c r="AM71" s="2"/>
      <c r="AN71" s="2"/>
      <c r="AO71" s="2"/>
    </row>
    <row r="72" spans="1:41" x14ac:dyDescent="0.25">
      <c r="A72" s="23">
        <v>17</v>
      </c>
      <c r="B72" s="1" t="s">
        <v>163</v>
      </c>
      <c r="C72" s="24">
        <v>0</v>
      </c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5">
        <f t="shared" si="3"/>
        <v>0</v>
      </c>
      <c r="AJ72" s="15"/>
      <c r="AK72" s="2"/>
      <c r="AL72" s="2"/>
      <c r="AM72" s="2"/>
      <c r="AN72" s="2"/>
      <c r="AO72" s="2"/>
    </row>
    <row r="73" spans="1:41" x14ac:dyDescent="0.25">
      <c r="A73" s="23">
        <v>18</v>
      </c>
      <c r="B73" s="1" t="s">
        <v>164</v>
      </c>
      <c r="C73" s="24">
        <v>0</v>
      </c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5">
        <f t="shared" si="3"/>
        <v>0</v>
      </c>
      <c r="AJ73" s="15"/>
      <c r="AK73" s="2"/>
      <c r="AL73" s="2"/>
      <c r="AM73" s="2"/>
      <c r="AN73" s="2"/>
      <c r="AO73" s="2"/>
    </row>
    <row r="74" spans="1:41" x14ac:dyDescent="0.25">
      <c r="A74" s="23">
        <v>19</v>
      </c>
      <c r="B74" s="1" t="s">
        <v>165</v>
      </c>
      <c r="C74" s="24">
        <v>0</v>
      </c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5">
        <f t="shared" si="3"/>
        <v>0</v>
      </c>
      <c r="AJ74" s="15"/>
      <c r="AK74" s="2"/>
      <c r="AL74" s="2"/>
      <c r="AM74" s="2"/>
      <c r="AN74" s="2"/>
      <c r="AO74" s="2"/>
    </row>
    <row r="75" spans="1:41" x14ac:dyDescent="0.25">
      <c r="A75" s="23">
        <v>20</v>
      </c>
      <c r="B75" s="1" t="s">
        <v>44</v>
      </c>
      <c r="C75" s="24">
        <v>8</v>
      </c>
      <c r="D75" s="25"/>
      <c r="E75" s="25"/>
      <c r="F75" s="25"/>
      <c r="G75" s="25"/>
      <c r="H75" s="25">
        <v>1</v>
      </c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5">
        <f t="shared" si="2"/>
        <v>7</v>
      </c>
      <c r="AJ75" s="15"/>
      <c r="AK75" s="2"/>
      <c r="AL75" s="2"/>
      <c r="AM75" s="2"/>
      <c r="AN75" s="2"/>
      <c r="AO75" s="2"/>
    </row>
    <row r="76" spans="1:41" x14ac:dyDescent="0.25">
      <c r="A76" s="23">
        <v>21</v>
      </c>
      <c r="B76" s="1" t="s">
        <v>45</v>
      </c>
      <c r="C76" s="24">
        <v>10</v>
      </c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5">
        <f t="shared" si="2"/>
        <v>10</v>
      </c>
      <c r="AJ76" s="15"/>
      <c r="AK76" s="2"/>
      <c r="AL76" s="2"/>
      <c r="AM76" s="2"/>
      <c r="AN76" s="2"/>
      <c r="AO76" s="2"/>
    </row>
    <row r="77" spans="1:41" x14ac:dyDescent="0.25">
      <c r="A77" s="23">
        <v>22</v>
      </c>
      <c r="B77" s="1" t="s">
        <v>46</v>
      </c>
      <c r="C77" s="24">
        <v>6</v>
      </c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5">
        <f t="shared" si="2"/>
        <v>6</v>
      </c>
      <c r="AJ77" s="15"/>
      <c r="AK77" s="2"/>
      <c r="AL77" s="2"/>
      <c r="AM77" s="2"/>
      <c r="AN77" s="2"/>
      <c r="AO77" s="2"/>
    </row>
    <row r="78" spans="1:41" x14ac:dyDescent="0.25">
      <c r="A78" s="23">
        <v>23</v>
      </c>
      <c r="B78" s="1" t="s">
        <v>47</v>
      </c>
      <c r="C78" s="24">
        <v>1</v>
      </c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5">
        <f t="shared" si="2"/>
        <v>1</v>
      </c>
      <c r="AJ78" s="15"/>
      <c r="AK78" s="2"/>
      <c r="AL78" s="2"/>
      <c r="AM78" s="2"/>
      <c r="AN78" s="2"/>
      <c r="AO78" s="2"/>
    </row>
    <row r="79" spans="1:41" x14ac:dyDescent="0.25">
      <c r="A79" s="23">
        <v>24</v>
      </c>
      <c r="B79" s="1" t="s">
        <v>48</v>
      </c>
      <c r="C79" s="24">
        <v>2</v>
      </c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5">
        <f t="shared" si="2"/>
        <v>2</v>
      </c>
      <c r="AJ79" s="15"/>
      <c r="AK79" s="2"/>
      <c r="AL79" s="2"/>
      <c r="AM79" s="2"/>
      <c r="AN79" s="2"/>
      <c r="AO79" s="2"/>
    </row>
    <row r="80" spans="1:41" x14ac:dyDescent="0.25">
      <c r="A80" s="23">
        <v>25</v>
      </c>
      <c r="B80" s="2" t="s">
        <v>144</v>
      </c>
      <c r="C80" s="5">
        <v>11</v>
      </c>
      <c r="D80" s="26">
        <v>1</v>
      </c>
      <c r="E80" s="26"/>
      <c r="F80" s="26">
        <v>1</v>
      </c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5">
        <f t="shared" si="2"/>
        <v>9</v>
      </c>
      <c r="AJ80" s="15"/>
      <c r="AK80" s="2"/>
      <c r="AL80" s="2"/>
      <c r="AM80" s="2"/>
      <c r="AN80" s="2"/>
      <c r="AO80" s="2"/>
    </row>
    <row r="81" spans="1:41" x14ac:dyDescent="0.25">
      <c r="A81" s="23">
        <v>26</v>
      </c>
      <c r="B81" s="2" t="s">
        <v>145</v>
      </c>
      <c r="C81" s="5">
        <v>9</v>
      </c>
      <c r="D81" s="26"/>
      <c r="E81" s="26"/>
      <c r="F81" s="26">
        <v>1</v>
      </c>
      <c r="G81" s="26"/>
      <c r="H81" s="26"/>
      <c r="I81" s="26"/>
      <c r="J81" s="26"/>
      <c r="K81" s="26"/>
      <c r="L81" s="26"/>
      <c r="M81" s="26"/>
      <c r="N81" s="26">
        <v>1</v>
      </c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5">
        <f t="shared" si="2"/>
        <v>7</v>
      </c>
      <c r="AJ81" s="15"/>
      <c r="AK81" s="2"/>
      <c r="AL81" s="2"/>
      <c r="AM81" s="2"/>
      <c r="AN81" s="2"/>
      <c r="AO81" s="2"/>
    </row>
    <row r="82" spans="1:41" x14ac:dyDescent="0.25">
      <c r="A82" s="23">
        <v>27</v>
      </c>
      <c r="B82" s="2" t="s">
        <v>146</v>
      </c>
      <c r="C82" s="5">
        <v>2</v>
      </c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5">
        <f t="shared" si="2"/>
        <v>2</v>
      </c>
      <c r="AJ82" s="15"/>
      <c r="AK82" s="2"/>
      <c r="AL82" s="2"/>
      <c r="AM82" s="2"/>
      <c r="AN82" s="2"/>
      <c r="AO82" s="2"/>
    </row>
    <row r="83" spans="1:41" x14ac:dyDescent="0.25">
      <c r="A83" s="23">
        <v>28</v>
      </c>
      <c r="B83" s="2" t="s">
        <v>147</v>
      </c>
      <c r="C83" s="5">
        <v>0</v>
      </c>
      <c r="D83" s="26"/>
      <c r="E83" s="26"/>
      <c r="F83" s="26"/>
      <c r="G83" s="26"/>
      <c r="H83" s="26">
        <v>1</v>
      </c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5">
        <f t="shared" si="2"/>
        <v>-1</v>
      </c>
      <c r="AJ83" s="15"/>
      <c r="AK83" s="2"/>
      <c r="AL83" s="2"/>
      <c r="AM83" s="2"/>
      <c r="AN83" s="2"/>
      <c r="AO83" s="2"/>
    </row>
    <row r="84" spans="1:41" x14ac:dyDescent="0.25">
      <c r="A84" s="23">
        <v>29</v>
      </c>
      <c r="B84" s="2" t="s">
        <v>148</v>
      </c>
      <c r="C84" s="5">
        <v>16</v>
      </c>
      <c r="D84" s="26"/>
      <c r="E84" s="26"/>
      <c r="F84" s="26"/>
      <c r="G84" s="26"/>
      <c r="H84" s="26"/>
      <c r="I84" s="26"/>
      <c r="J84" s="26">
        <v>2</v>
      </c>
      <c r="K84" s="26">
        <v>6</v>
      </c>
      <c r="L84" s="26"/>
      <c r="M84" s="26"/>
      <c r="N84" s="26"/>
      <c r="O84" s="26">
        <v>1</v>
      </c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5">
        <f t="shared" si="2"/>
        <v>7</v>
      </c>
      <c r="AJ84" s="15"/>
      <c r="AK84" s="2"/>
      <c r="AL84" s="2"/>
      <c r="AM84" s="2"/>
      <c r="AN84" s="2"/>
      <c r="AO84" s="2"/>
    </row>
    <row r="85" spans="1:41" x14ac:dyDescent="0.25">
      <c r="A85" s="23">
        <v>30</v>
      </c>
      <c r="B85" s="2" t="s">
        <v>149</v>
      </c>
      <c r="C85" s="5">
        <v>11</v>
      </c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5">
        <f t="shared" si="2"/>
        <v>11</v>
      </c>
      <c r="AJ85" s="15"/>
      <c r="AK85" s="2"/>
      <c r="AL85" s="2"/>
      <c r="AM85" s="2"/>
      <c r="AN85" s="2"/>
      <c r="AO85" s="2"/>
    </row>
    <row r="86" spans="1:41" x14ac:dyDescent="0.25">
      <c r="A86" s="23">
        <v>31</v>
      </c>
      <c r="B86" s="2" t="s">
        <v>150</v>
      </c>
      <c r="C86" s="5">
        <v>0</v>
      </c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5">
        <f t="shared" si="2"/>
        <v>0</v>
      </c>
      <c r="AJ86" s="15"/>
      <c r="AK86" s="2"/>
      <c r="AL86" s="2"/>
      <c r="AM86" s="2"/>
      <c r="AN86" s="2"/>
      <c r="AO86" s="2"/>
    </row>
    <row r="87" spans="1:41" x14ac:dyDescent="0.25">
      <c r="A87" s="23">
        <v>32</v>
      </c>
      <c r="B87" s="2" t="s">
        <v>151</v>
      </c>
      <c r="C87" s="5">
        <v>2</v>
      </c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5">
        <f t="shared" si="2"/>
        <v>2</v>
      </c>
      <c r="AJ87" s="15"/>
      <c r="AK87" s="2"/>
      <c r="AL87" s="2"/>
      <c r="AM87" s="2"/>
      <c r="AN87" s="2"/>
      <c r="AO87" s="2"/>
    </row>
    <row r="88" spans="1:41" x14ac:dyDescent="0.25">
      <c r="A88" s="23">
        <v>33</v>
      </c>
      <c r="B88" s="2" t="s">
        <v>152</v>
      </c>
      <c r="C88" s="5">
        <v>1</v>
      </c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5">
        <f t="shared" si="2"/>
        <v>1</v>
      </c>
      <c r="AJ88" s="15"/>
      <c r="AK88" s="2"/>
      <c r="AL88" s="2"/>
      <c r="AM88" s="2"/>
      <c r="AN88" s="2"/>
      <c r="AO88" s="2"/>
    </row>
    <row r="89" spans="1:41" x14ac:dyDescent="0.25">
      <c r="A89" s="23">
        <v>34</v>
      </c>
      <c r="B89" s="2" t="s">
        <v>153</v>
      </c>
      <c r="C89" s="6">
        <v>1</v>
      </c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5">
        <f t="shared" si="2"/>
        <v>1</v>
      </c>
      <c r="AK89" s="2"/>
      <c r="AL89" s="2"/>
      <c r="AM89" s="2"/>
      <c r="AN89" s="2"/>
      <c r="AO89" s="2"/>
    </row>
    <row r="90" spans="1:41" x14ac:dyDescent="0.25">
      <c r="A90" s="23">
        <v>35</v>
      </c>
      <c r="B90" s="2" t="s">
        <v>156</v>
      </c>
      <c r="C90" s="6">
        <v>2</v>
      </c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5">
        <f t="shared" si="2"/>
        <v>2</v>
      </c>
      <c r="AK90" s="2"/>
      <c r="AL90" s="2"/>
      <c r="AM90" s="2"/>
      <c r="AN90" s="2"/>
      <c r="AO90" s="2"/>
    </row>
    <row r="91" spans="1:41" x14ac:dyDescent="0.25">
      <c r="A91" s="23">
        <v>36</v>
      </c>
      <c r="B91" s="2" t="s">
        <v>154</v>
      </c>
      <c r="C91" s="6">
        <v>3</v>
      </c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5">
        <f t="shared" si="2"/>
        <v>3</v>
      </c>
      <c r="AK91" s="2"/>
      <c r="AL91" s="2"/>
      <c r="AM91" s="2"/>
      <c r="AN91" s="2"/>
      <c r="AO91" s="2"/>
    </row>
    <row r="92" spans="1:41" x14ac:dyDescent="0.25">
      <c r="A92" s="23">
        <v>37</v>
      </c>
      <c r="B92" s="2" t="s">
        <v>155</v>
      </c>
      <c r="C92" s="6">
        <v>5</v>
      </c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5">
        <f t="shared" si="2"/>
        <v>5</v>
      </c>
      <c r="AK92" s="2"/>
      <c r="AL92" s="2"/>
      <c r="AM92" s="2"/>
      <c r="AN92" s="2"/>
      <c r="AO92" s="2"/>
    </row>
    <row r="93" spans="1:41" x14ac:dyDescent="0.25">
      <c r="A93" s="23">
        <v>38</v>
      </c>
      <c r="B93" s="2" t="s">
        <v>166</v>
      </c>
      <c r="C93" s="6">
        <v>3</v>
      </c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5">
        <f t="shared" si="2"/>
        <v>3</v>
      </c>
      <c r="AK93" s="9" t="s">
        <v>174</v>
      </c>
    </row>
    <row r="94" spans="1:41" x14ac:dyDescent="0.25">
      <c r="A94" s="23">
        <v>39</v>
      </c>
      <c r="B94" s="2" t="s">
        <v>167</v>
      </c>
      <c r="C94" s="6">
        <v>1</v>
      </c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5">
        <f t="shared" si="2"/>
        <v>1</v>
      </c>
    </row>
    <row r="95" spans="1:41" x14ac:dyDescent="0.25">
      <c r="A95" s="34">
        <v>40</v>
      </c>
      <c r="B95" s="29" t="s">
        <v>168</v>
      </c>
      <c r="C95" s="30">
        <v>1</v>
      </c>
      <c r="D95" s="31"/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  <c r="U95" s="31"/>
      <c r="V95" s="31"/>
      <c r="W95" s="31"/>
      <c r="X95" s="31"/>
      <c r="Y95" s="31"/>
      <c r="Z95" s="31"/>
      <c r="AA95" s="31"/>
      <c r="AB95" s="31"/>
      <c r="AC95" s="31"/>
      <c r="AD95" s="31"/>
      <c r="AE95" s="31"/>
      <c r="AF95" s="31"/>
      <c r="AG95" s="31"/>
      <c r="AH95" s="31"/>
      <c r="AI95" s="5">
        <f t="shared" si="2"/>
        <v>1</v>
      </c>
    </row>
    <row r="96" spans="1:41" s="2" customFormat="1" x14ac:dyDescent="0.25">
      <c r="A96" s="5">
        <v>41</v>
      </c>
      <c r="B96" s="2" t="s">
        <v>169</v>
      </c>
      <c r="C96" s="6">
        <v>3</v>
      </c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5">
        <f t="shared" si="2"/>
        <v>3</v>
      </c>
      <c r="AJ96" s="9"/>
    </row>
    <row r="97" spans="1:41" x14ac:dyDescent="0.25">
      <c r="A97" s="5">
        <v>42</v>
      </c>
      <c r="B97" s="2" t="s">
        <v>173</v>
      </c>
      <c r="C97" s="6">
        <v>26</v>
      </c>
      <c r="D97" s="7"/>
      <c r="E97" s="7"/>
      <c r="F97" s="7"/>
      <c r="G97" s="7"/>
      <c r="H97" s="7"/>
      <c r="I97" s="7"/>
      <c r="J97" s="7"/>
      <c r="K97" s="7"/>
      <c r="L97" s="7">
        <v>1</v>
      </c>
      <c r="M97" s="7"/>
      <c r="N97" s="7"/>
      <c r="O97" s="7">
        <v>4</v>
      </c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5">
        <f t="shared" si="2"/>
        <v>21</v>
      </c>
    </row>
    <row r="98" spans="1:41" x14ac:dyDescent="0.25">
      <c r="A98" s="5">
        <v>43</v>
      </c>
      <c r="B98" s="2" t="s">
        <v>175</v>
      </c>
      <c r="C98" s="6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>
        <v>1</v>
      </c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5"/>
    </row>
    <row r="99" spans="1:41" x14ac:dyDescent="0.25">
      <c r="A99" s="15"/>
      <c r="AI99" s="15"/>
    </row>
    <row r="100" spans="1:41" x14ac:dyDescent="0.25">
      <c r="A100" s="15"/>
      <c r="AI100" s="15"/>
    </row>
    <row r="101" spans="1:41" x14ac:dyDescent="0.25">
      <c r="A101" s="15"/>
      <c r="AI101" s="15"/>
    </row>
    <row r="104" spans="1:41" x14ac:dyDescent="0.25">
      <c r="A104" s="39" t="s">
        <v>60</v>
      </c>
      <c r="B104" s="39"/>
      <c r="C104" s="17"/>
      <c r="D104" s="16"/>
      <c r="E104" s="16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  <c r="AC104" s="16"/>
      <c r="AD104" s="16"/>
      <c r="AE104" s="16"/>
      <c r="AF104" s="16"/>
      <c r="AG104" s="16"/>
      <c r="AH104" s="16"/>
      <c r="AI104" s="17"/>
    </row>
    <row r="105" spans="1:41" x14ac:dyDescent="0.25">
      <c r="A105" s="18" t="s">
        <v>0</v>
      </c>
      <c r="B105" s="19" t="s">
        <v>1</v>
      </c>
      <c r="C105" s="27" t="s">
        <v>2</v>
      </c>
      <c r="D105" s="21">
        <v>1</v>
      </c>
      <c r="E105" s="21">
        <v>2</v>
      </c>
      <c r="F105" s="21">
        <v>3</v>
      </c>
      <c r="G105" s="21">
        <v>4</v>
      </c>
      <c r="H105" s="21">
        <v>5</v>
      </c>
      <c r="I105" s="21">
        <v>6</v>
      </c>
      <c r="J105" s="21">
        <v>7</v>
      </c>
      <c r="K105" s="21">
        <v>8</v>
      </c>
      <c r="L105" s="21">
        <v>9</v>
      </c>
      <c r="M105" s="21">
        <v>10</v>
      </c>
      <c r="N105" s="21">
        <v>11</v>
      </c>
      <c r="O105" s="21">
        <v>12</v>
      </c>
      <c r="P105" s="21">
        <v>13</v>
      </c>
      <c r="Q105" s="21">
        <v>14</v>
      </c>
      <c r="R105" s="21">
        <v>15</v>
      </c>
      <c r="S105" s="21">
        <v>16</v>
      </c>
      <c r="T105" s="21">
        <v>17</v>
      </c>
      <c r="U105" s="21">
        <v>18</v>
      </c>
      <c r="V105" s="21">
        <v>19</v>
      </c>
      <c r="W105" s="21">
        <v>20</v>
      </c>
      <c r="X105" s="21">
        <v>21</v>
      </c>
      <c r="Y105" s="21">
        <v>22</v>
      </c>
      <c r="Z105" s="21">
        <v>23</v>
      </c>
      <c r="AA105" s="21">
        <v>24</v>
      </c>
      <c r="AB105" s="21">
        <v>25</v>
      </c>
      <c r="AC105" s="21">
        <v>26</v>
      </c>
      <c r="AD105" s="21">
        <v>27</v>
      </c>
      <c r="AE105" s="21">
        <v>28</v>
      </c>
      <c r="AF105" s="21">
        <v>29</v>
      </c>
      <c r="AG105" s="21">
        <v>30</v>
      </c>
      <c r="AH105" s="21">
        <v>31</v>
      </c>
      <c r="AI105" s="20" t="s">
        <v>3</v>
      </c>
      <c r="AK105" s="35" t="s">
        <v>49</v>
      </c>
      <c r="AL105" s="36"/>
      <c r="AM105" s="36"/>
      <c r="AN105" s="36"/>
      <c r="AO105" s="37"/>
    </row>
    <row r="106" spans="1:41" x14ac:dyDescent="0.25">
      <c r="A106" s="5">
        <v>1</v>
      </c>
      <c r="B106" s="4" t="s">
        <v>96</v>
      </c>
      <c r="C106" s="5">
        <v>3</v>
      </c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5">
        <f>C106-E106-F106-G106-H106-I106-J106-K106-M106-N106-O106-P106-Q106-R106-S106-T106-U106-V106-W106-X106-Y106-Z106-AA106-AB106-AC106-AD106-AE106-AF106-AG106-AH106</f>
        <v>3</v>
      </c>
      <c r="AK106" s="2"/>
      <c r="AL106" s="2"/>
      <c r="AM106" s="2"/>
      <c r="AN106" s="2"/>
      <c r="AO106" s="2"/>
    </row>
    <row r="107" spans="1:41" x14ac:dyDescent="0.25">
      <c r="A107" s="5">
        <v>2</v>
      </c>
      <c r="B107" s="2" t="s">
        <v>61</v>
      </c>
      <c r="C107" s="5">
        <v>1</v>
      </c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5">
        <f t="shared" ref="AI107:AI138" si="4">C107-E107-F107-G107-H107-I107-J107-K107-M107-N107-O107-P107-Q107-R107-S107-T107-U107-V107-W107-X107-Y107-Z107-AA107-AB107-AC107-AD107-AE107-AF107-AG107-AH107</f>
        <v>1</v>
      </c>
      <c r="AK107" s="2"/>
      <c r="AL107" s="2"/>
      <c r="AM107" s="2"/>
      <c r="AN107" s="2"/>
      <c r="AO107" s="2"/>
    </row>
    <row r="108" spans="1:41" x14ac:dyDescent="0.25">
      <c r="A108" s="5">
        <v>3</v>
      </c>
      <c r="B108" s="2" t="s">
        <v>62</v>
      </c>
      <c r="C108" s="5">
        <v>2</v>
      </c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5">
        <f t="shared" si="4"/>
        <v>2</v>
      </c>
      <c r="AK108" s="2"/>
      <c r="AL108" s="2"/>
      <c r="AM108" s="2"/>
      <c r="AN108" s="2"/>
      <c r="AO108" s="2"/>
    </row>
    <row r="109" spans="1:41" x14ac:dyDescent="0.25">
      <c r="A109" s="5">
        <v>4</v>
      </c>
      <c r="B109" s="2" t="s">
        <v>63</v>
      </c>
      <c r="C109" s="5">
        <v>1</v>
      </c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5">
        <f t="shared" si="4"/>
        <v>1</v>
      </c>
      <c r="AK109" s="2"/>
      <c r="AL109" s="2"/>
      <c r="AM109" s="2"/>
      <c r="AN109" s="2"/>
      <c r="AO109" s="2"/>
    </row>
    <row r="110" spans="1:41" x14ac:dyDescent="0.25">
      <c r="A110" s="5">
        <v>5</v>
      </c>
      <c r="B110" s="2" t="s">
        <v>64</v>
      </c>
      <c r="C110" s="5">
        <v>1</v>
      </c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5">
        <f t="shared" si="4"/>
        <v>1</v>
      </c>
      <c r="AK110" s="2"/>
      <c r="AL110" s="2"/>
      <c r="AM110" s="2"/>
      <c r="AN110" s="2"/>
      <c r="AO110" s="2"/>
    </row>
    <row r="111" spans="1:41" x14ac:dyDescent="0.25">
      <c r="A111" s="5">
        <v>6</v>
      </c>
      <c r="B111" s="2" t="s">
        <v>67</v>
      </c>
      <c r="C111" s="5">
        <v>1</v>
      </c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5">
        <f t="shared" si="4"/>
        <v>1</v>
      </c>
      <c r="AK111" s="2"/>
      <c r="AL111" s="2"/>
      <c r="AM111" s="2"/>
      <c r="AN111" s="2"/>
      <c r="AO111" s="2"/>
    </row>
    <row r="112" spans="1:41" x14ac:dyDescent="0.25">
      <c r="A112" s="5">
        <v>7</v>
      </c>
      <c r="B112" s="2" t="s">
        <v>65</v>
      </c>
      <c r="C112" s="5">
        <v>2</v>
      </c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5">
        <f t="shared" si="4"/>
        <v>2</v>
      </c>
      <c r="AK112" s="2"/>
      <c r="AL112" s="2"/>
      <c r="AM112" s="2"/>
      <c r="AN112" s="2"/>
      <c r="AO112" s="2"/>
    </row>
    <row r="113" spans="1:41" x14ac:dyDescent="0.25">
      <c r="A113" s="5">
        <v>8</v>
      </c>
      <c r="B113" s="2" t="s">
        <v>66</v>
      </c>
      <c r="C113" s="5">
        <v>1</v>
      </c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5">
        <f t="shared" si="4"/>
        <v>1</v>
      </c>
      <c r="AK113" s="2"/>
      <c r="AL113" s="2"/>
      <c r="AM113" s="2"/>
      <c r="AN113" s="2"/>
      <c r="AO113" s="2"/>
    </row>
    <row r="114" spans="1:41" x14ac:dyDescent="0.25">
      <c r="A114" s="5">
        <v>9</v>
      </c>
      <c r="B114" s="2" t="s">
        <v>68</v>
      </c>
      <c r="C114" s="6">
        <v>1</v>
      </c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5">
        <f t="shared" si="4"/>
        <v>1</v>
      </c>
      <c r="AK114" s="2"/>
      <c r="AL114" s="2"/>
      <c r="AM114" s="2"/>
      <c r="AN114" s="2"/>
      <c r="AO114" s="2"/>
    </row>
    <row r="115" spans="1:41" x14ac:dyDescent="0.25">
      <c r="A115" s="5">
        <v>10</v>
      </c>
      <c r="B115" s="2" t="s">
        <v>69</v>
      </c>
      <c r="C115" s="6">
        <v>1</v>
      </c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5">
        <f t="shared" si="4"/>
        <v>1</v>
      </c>
      <c r="AK115" s="2"/>
      <c r="AL115" s="2"/>
      <c r="AM115" s="2"/>
      <c r="AN115" s="2"/>
      <c r="AO115" s="2"/>
    </row>
    <row r="116" spans="1:41" x14ac:dyDescent="0.25">
      <c r="A116" s="5">
        <v>11</v>
      </c>
      <c r="B116" s="2" t="s">
        <v>70</v>
      </c>
      <c r="C116" s="6">
        <v>1</v>
      </c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5">
        <f t="shared" si="4"/>
        <v>1</v>
      </c>
      <c r="AK116" s="2"/>
      <c r="AL116" s="2"/>
      <c r="AM116" s="2"/>
      <c r="AN116" s="2"/>
      <c r="AO116" s="2"/>
    </row>
    <row r="117" spans="1:41" x14ac:dyDescent="0.25">
      <c r="A117" s="5">
        <v>12</v>
      </c>
      <c r="B117" s="2" t="s">
        <v>71</v>
      </c>
      <c r="C117" s="6">
        <v>2</v>
      </c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5">
        <f t="shared" si="4"/>
        <v>2</v>
      </c>
      <c r="AK117" s="2"/>
      <c r="AL117" s="2"/>
      <c r="AM117" s="2"/>
      <c r="AN117" s="2"/>
      <c r="AO117" s="2"/>
    </row>
    <row r="118" spans="1:41" x14ac:dyDescent="0.25">
      <c r="A118" s="5">
        <v>13</v>
      </c>
      <c r="B118" s="2" t="s">
        <v>72</v>
      </c>
      <c r="C118" s="6">
        <v>3</v>
      </c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5">
        <f t="shared" si="4"/>
        <v>3</v>
      </c>
      <c r="AK118" s="2"/>
      <c r="AL118" s="2"/>
      <c r="AM118" s="2"/>
      <c r="AN118" s="2"/>
      <c r="AO118" s="2"/>
    </row>
    <row r="119" spans="1:41" x14ac:dyDescent="0.25">
      <c r="A119" s="5">
        <v>14</v>
      </c>
      <c r="B119" s="2" t="s">
        <v>74</v>
      </c>
      <c r="C119" s="6">
        <v>9</v>
      </c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5">
        <f t="shared" si="4"/>
        <v>9</v>
      </c>
      <c r="AK119" s="2"/>
      <c r="AL119" s="2"/>
      <c r="AM119" s="2"/>
      <c r="AN119" s="2"/>
      <c r="AO119" s="2"/>
    </row>
    <row r="120" spans="1:41" x14ac:dyDescent="0.25">
      <c r="A120" s="5">
        <v>15</v>
      </c>
      <c r="B120" s="2" t="s">
        <v>77</v>
      </c>
      <c r="C120" s="6">
        <v>1</v>
      </c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5">
        <f t="shared" si="4"/>
        <v>1</v>
      </c>
      <c r="AK120" s="2"/>
      <c r="AL120" s="2"/>
      <c r="AM120" s="2"/>
      <c r="AN120" s="2"/>
      <c r="AO120" s="2"/>
    </row>
    <row r="121" spans="1:41" x14ac:dyDescent="0.25">
      <c r="A121" s="5">
        <v>16</v>
      </c>
      <c r="B121" s="2" t="s">
        <v>78</v>
      </c>
      <c r="C121" s="6">
        <v>9</v>
      </c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5">
        <f t="shared" si="4"/>
        <v>9</v>
      </c>
      <c r="AK121" s="2"/>
      <c r="AL121" s="2"/>
      <c r="AM121" s="2"/>
      <c r="AN121" s="2"/>
      <c r="AO121" s="2"/>
    </row>
    <row r="122" spans="1:41" x14ac:dyDescent="0.25">
      <c r="A122" s="5">
        <v>17</v>
      </c>
      <c r="B122" s="2" t="s">
        <v>79</v>
      </c>
      <c r="C122" s="6">
        <v>7</v>
      </c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5">
        <f t="shared" si="4"/>
        <v>7</v>
      </c>
      <c r="AK122" s="2"/>
      <c r="AL122" s="2"/>
      <c r="AM122" s="2"/>
      <c r="AN122" s="2"/>
      <c r="AO122" s="2"/>
    </row>
    <row r="123" spans="1:41" x14ac:dyDescent="0.25">
      <c r="A123" s="5">
        <v>18</v>
      </c>
      <c r="B123" s="2" t="s">
        <v>80</v>
      </c>
      <c r="C123" s="6">
        <v>9</v>
      </c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5">
        <f t="shared" si="4"/>
        <v>9</v>
      </c>
      <c r="AK123" s="2"/>
      <c r="AL123" s="2"/>
      <c r="AM123" s="2"/>
      <c r="AN123" s="2"/>
      <c r="AO123" s="2"/>
    </row>
    <row r="124" spans="1:41" x14ac:dyDescent="0.25">
      <c r="A124" s="5">
        <v>19</v>
      </c>
      <c r="B124" s="2" t="s">
        <v>81</v>
      </c>
      <c r="C124" s="6">
        <v>3</v>
      </c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5">
        <f t="shared" si="4"/>
        <v>3</v>
      </c>
      <c r="AK124" s="2"/>
      <c r="AL124" s="2"/>
      <c r="AM124" s="2"/>
      <c r="AN124" s="2"/>
      <c r="AO124" s="2"/>
    </row>
    <row r="125" spans="1:41" x14ac:dyDescent="0.25">
      <c r="A125" s="5">
        <v>20</v>
      </c>
      <c r="B125" s="2" t="s">
        <v>82</v>
      </c>
      <c r="C125" s="6">
        <v>0</v>
      </c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5">
        <f t="shared" si="4"/>
        <v>0</v>
      </c>
      <c r="AK125" s="2"/>
      <c r="AL125" s="2"/>
      <c r="AM125" s="2"/>
      <c r="AN125" s="2"/>
      <c r="AO125" s="2"/>
    </row>
    <row r="126" spans="1:41" x14ac:dyDescent="0.25">
      <c r="A126" s="5">
        <v>21</v>
      </c>
      <c r="B126" s="2" t="s">
        <v>83</v>
      </c>
      <c r="C126" s="6">
        <v>1</v>
      </c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5">
        <f t="shared" si="4"/>
        <v>1</v>
      </c>
      <c r="AK126" s="2"/>
      <c r="AL126" s="2"/>
      <c r="AM126" s="2"/>
      <c r="AN126" s="2"/>
      <c r="AO126" s="2"/>
    </row>
    <row r="127" spans="1:41" x14ac:dyDescent="0.25">
      <c r="A127" s="5">
        <v>22</v>
      </c>
      <c r="B127" s="2" t="s">
        <v>84</v>
      </c>
      <c r="C127" s="6">
        <v>2</v>
      </c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5">
        <f t="shared" si="4"/>
        <v>2</v>
      </c>
      <c r="AK127" s="2"/>
      <c r="AL127" s="2"/>
      <c r="AM127" s="2"/>
      <c r="AN127" s="2"/>
      <c r="AO127" s="2"/>
    </row>
    <row r="128" spans="1:41" x14ac:dyDescent="0.25">
      <c r="A128" s="5">
        <v>23</v>
      </c>
      <c r="B128" s="2" t="s">
        <v>85</v>
      </c>
      <c r="C128" s="6">
        <v>1</v>
      </c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5">
        <f t="shared" si="4"/>
        <v>1</v>
      </c>
      <c r="AK128" s="2"/>
      <c r="AL128" s="2"/>
      <c r="AM128" s="2"/>
      <c r="AN128" s="2"/>
      <c r="AO128" s="2"/>
    </row>
    <row r="129" spans="1:41" x14ac:dyDescent="0.25">
      <c r="A129" s="5">
        <v>24</v>
      </c>
      <c r="B129" s="2" t="s">
        <v>86</v>
      </c>
      <c r="C129" s="6">
        <v>4</v>
      </c>
      <c r="D129" s="7"/>
      <c r="E129" s="7"/>
      <c r="F129" s="7"/>
      <c r="G129" s="7">
        <v>1</v>
      </c>
      <c r="H129" s="7"/>
      <c r="I129" s="7"/>
      <c r="J129" s="7">
        <v>1</v>
      </c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5">
        <f t="shared" si="4"/>
        <v>2</v>
      </c>
      <c r="AK129" s="2"/>
      <c r="AL129" s="2"/>
      <c r="AM129" s="2"/>
      <c r="AN129" s="2"/>
      <c r="AO129" s="2"/>
    </row>
    <row r="130" spans="1:41" x14ac:dyDescent="0.25">
      <c r="A130" s="5">
        <v>25</v>
      </c>
      <c r="B130" s="2" t="s">
        <v>87</v>
      </c>
      <c r="C130" s="6">
        <v>5</v>
      </c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5">
        <f t="shared" si="4"/>
        <v>5</v>
      </c>
      <c r="AK130" s="2"/>
      <c r="AL130" s="2"/>
      <c r="AM130" s="2"/>
      <c r="AN130" s="2"/>
      <c r="AO130" s="2"/>
    </row>
    <row r="131" spans="1:41" x14ac:dyDescent="0.25">
      <c r="A131" s="5">
        <v>26</v>
      </c>
      <c r="B131" s="2" t="s">
        <v>88</v>
      </c>
      <c r="C131" s="6">
        <v>2</v>
      </c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5">
        <f t="shared" si="4"/>
        <v>2</v>
      </c>
      <c r="AK131" s="2"/>
      <c r="AL131" s="2"/>
      <c r="AM131" s="2"/>
      <c r="AN131" s="2"/>
      <c r="AO131" s="2"/>
    </row>
    <row r="132" spans="1:41" x14ac:dyDescent="0.25">
      <c r="A132" s="5">
        <v>27</v>
      </c>
      <c r="B132" s="2" t="s">
        <v>89</v>
      </c>
      <c r="C132" s="6">
        <v>1</v>
      </c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5">
        <f t="shared" si="4"/>
        <v>1</v>
      </c>
      <c r="AK132" s="2"/>
      <c r="AL132" s="2"/>
      <c r="AM132" s="2"/>
      <c r="AN132" s="2"/>
      <c r="AO132" s="2"/>
    </row>
    <row r="133" spans="1:41" x14ac:dyDescent="0.25">
      <c r="A133" s="5">
        <v>28</v>
      </c>
      <c r="B133" s="2" t="s">
        <v>90</v>
      </c>
      <c r="C133" s="6">
        <v>1</v>
      </c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5">
        <f t="shared" si="4"/>
        <v>1</v>
      </c>
      <c r="AK133" s="2"/>
      <c r="AL133" s="2"/>
      <c r="AM133" s="2"/>
      <c r="AN133" s="2"/>
      <c r="AO133" s="2"/>
    </row>
    <row r="134" spans="1:41" x14ac:dyDescent="0.25">
      <c r="A134" s="5">
        <v>29</v>
      </c>
      <c r="B134" s="2" t="s">
        <v>91</v>
      </c>
      <c r="C134" s="6">
        <v>1</v>
      </c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5">
        <f t="shared" si="4"/>
        <v>1</v>
      </c>
      <c r="AK134" s="2"/>
      <c r="AL134" s="2"/>
      <c r="AM134" s="2"/>
      <c r="AN134" s="2"/>
      <c r="AO134" s="2"/>
    </row>
    <row r="135" spans="1:41" x14ac:dyDescent="0.25">
      <c r="A135" s="5">
        <v>30</v>
      </c>
      <c r="B135" s="2" t="s">
        <v>92</v>
      </c>
      <c r="C135" s="6">
        <v>2</v>
      </c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5">
        <f t="shared" si="4"/>
        <v>2</v>
      </c>
      <c r="AK135" s="2"/>
      <c r="AL135" s="2"/>
      <c r="AM135" s="2"/>
      <c r="AN135" s="2"/>
      <c r="AO135" s="2"/>
    </row>
    <row r="136" spans="1:41" x14ac:dyDescent="0.25">
      <c r="A136" s="5">
        <v>31</v>
      </c>
      <c r="B136" s="2" t="s">
        <v>93</v>
      </c>
      <c r="C136" s="6">
        <v>3</v>
      </c>
      <c r="D136" s="7"/>
      <c r="E136" s="7"/>
      <c r="F136" s="7"/>
      <c r="G136" s="7">
        <v>1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5">
        <f t="shared" si="4"/>
        <v>2</v>
      </c>
      <c r="AK136" s="2"/>
      <c r="AL136" s="2"/>
      <c r="AM136" s="2"/>
      <c r="AN136" s="2"/>
      <c r="AO136" s="2"/>
    </row>
    <row r="137" spans="1:41" x14ac:dyDescent="0.25">
      <c r="A137" s="28">
        <v>32</v>
      </c>
      <c r="B137" s="29" t="s">
        <v>94</v>
      </c>
      <c r="C137" s="30">
        <v>5</v>
      </c>
      <c r="D137" s="31"/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31"/>
      <c r="T137" s="31"/>
      <c r="U137" s="31"/>
      <c r="V137" s="31"/>
      <c r="W137" s="31"/>
      <c r="X137" s="31"/>
      <c r="Y137" s="31"/>
      <c r="Z137" s="31"/>
      <c r="AA137" s="31"/>
      <c r="AB137" s="31"/>
      <c r="AC137" s="31"/>
      <c r="AD137" s="31"/>
      <c r="AE137" s="31"/>
      <c r="AF137" s="31"/>
      <c r="AG137" s="31"/>
      <c r="AH137" s="31"/>
      <c r="AI137" s="28">
        <f t="shared" si="4"/>
        <v>5</v>
      </c>
      <c r="AK137" s="29"/>
      <c r="AL137" s="29"/>
      <c r="AM137" s="29"/>
      <c r="AN137" s="29"/>
      <c r="AO137" s="29"/>
    </row>
    <row r="138" spans="1:41" x14ac:dyDescent="0.25">
      <c r="A138" s="5">
        <v>33</v>
      </c>
      <c r="B138" s="2" t="s">
        <v>95</v>
      </c>
      <c r="C138" s="6">
        <v>2</v>
      </c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5">
        <f t="shared" si="4"/>
        <v>2</v>
      </c>
      <c r="AJ138" s="2"/>
      <c r="AK138" s="2"/>
      <c r="AL138" s="2"/>
      <c r="AM138" s="2"/>
      <c r="AN138" s="2"/>
      <c r="AO138" s="2"/>
    </row>
    <row r="146" spans="1:41" x14ac:dyDescent="0.25">
      <c r="A146" s="40" t="s">
        <v>97</v>
      </c>
      <c r="B146" s="40"/>
    </row>
    <row r="147" spans="1:41" x14ac:dyDescent="0.25">
      <c r="A147" s="12" t="s">
        <v>0</v>
      </c>
      <c r="B147" s="12" t="s">
        <v>1</v>
      </c>
      <c r="C147" s="13" t="s">
        <v>2</v>
      </c>
      <c r="D147" s="13">
        <v>1</v>
      </c>
      <c r="E147" s="13">
        <v>2</v>
      </c>
      <c r="F147" s="13">
        <v>3</v>
      </c>
      <c r="G147" s="13">
        <v>4</v>
      </c>
      <c r="H147" s="13">
        <v>5</v>
      </c>
      <c r="I147" s="13">
        <v>6</v>
      </c>
      <c r="J147" s="13">
        <v>7</v>
      </c>
      <c r="K147" s="13">
        <v>8</v>
      </c>
      <c r="L147" s="13">
        <v>9</v>
      </c>
      <c r="M147" s="13">
        <v>10</v>
      </c>
      <c r="N147" s="13">
        <v>11</v>
      </c>
      <c r="O147" s="13">
        <v>12</v>
      </c>
      <c r="P147" s="13">
        <v>13</v>
      </c>
      <c r="Q147" s="13">
        <v>14</v>
      </c>
      <c r="R147" s="13">
        <v>15</v>
      </c>
      <c r="S147" s="13">
        <v>16</v>
      </c>
      <c r="T147" s="13">
        <v>17</v>
      </c>
      <c r="U147" s="13">
        <v>18</v>
      </c>
      <c r="V147" s="13">
        <v>19</v>
      </c>
      <c r="W147" s="13">
        <v>20</v>
      </c>
      <c r="X147" s="13">
        <v>21</v>
      </c>
      <c r="Y147" s="13">
        <v>22</v>
      </c>
      <c r="Z147" s="13">
        <v>23</v>
      </c>
      <c r="AA147" s="13">
        <v>24</v>
      </c>
      <c r="AB147" s="13">
        <v>25</v>
      </c>
      <c r="AC147" s="13">
        <v>26</v>
      </c>
      <c r="AD147" s="13">
        <v>27</v>
      </c>
      <c r="AE147" s="13">
        <v>28</v>
      </c>
      <c r="AF147" s="13">
        <v>29</v>
      </c>
      <c r="AG147" s="13">
        <v>30</v>
      </c>
      <c r="AH147" s="13">
        <v>31</v>
      </c>
      <c r="AI147" s="14" t="s">
        <v>3</v>
      </c>
      <c r="AK147" s="35" t="s">
        <v>49</v>
      </c>
      <c r="AL147" s="36"/>
      <c r="AM147" s="36"/>
      <c r="AN147" s="36"/>
      <c r="AO147" s="37"/>
    </row>
    <row r="148" spans="1:41" x14ac:dyDescent="0.25">
      <c r="A148" s="6">
        <v>1</v>
      </c>
      <c r="B148" s="1" t="s">
        <v>98</v>
      </c>
      <c r="C148" s="6">
        <v>3</v>
      </c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6">
        <f>C148-D148-E148-F148-G148-H148-I148-J148-K148-L148-M148-N148-O148-P148-Q148-R148-S148-T148-U148-V148-W148-X148-Y148-Z148-AA148-AB148-AC148-AD148-AE148-AF148-AG148-AH148</f>
        <v>3</v>
      </c>
      <c r="AK148" s="2"/>
      <c r="AL148" s="2"/>
      <c r="AM148" s="2"/>
      <c r="AN148" s="2"/>
      <c r="AO148" s="2"/>
    </row>
    <row r="149" spans="1:41" x14ac:dyDescent="0.25">
      <c r="A149" s="6">
        <v>2</v>
      </c>
      <c r="B149" s="1" t="s">
        <v>99</v>
      </c>
      <c r="C149" s="6">
        <v>1</v>
      </c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6">
        <f t="shared" ref="AI149:AI193" si="5">C149-D149-E149-F149-G149-H149-I149-J149-K149-L149-M149-N149-O149-P149-Q149-R149-S149-T149-U149-V149-W149-X149-Y149-Z149-AA149-AB149-AC149-AD149-AE149-AF149-AG149-AH149</f>
        <v>1</v>
      </c>
      <c r="AK149" s="2"/>
      <c r="AL149" s="2"/>
      <c r="AM149" s="2"/>
      <c r="AN149" s="2"/>
      <c r="AO149" s="2"/>
    </row>
    <row r="150" spans="1:41" x14ac:dyDescent="0.25">
      <c r="A150" s="6">
        <v>3</v>
      </c>
      <c r="B150" s="1" t="s">
        <v>100</v>
      </c>
      <c r="C150" s="3">
        <v>1</v>
      </c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6">
        <f t="shared" si="5"/>
        <v>1</v>
      </c>
      <c r="AK150" s="2"/>
      <c r="AL150" s="2"/>
      <c r="AM150" s="2"/>
      <c r="AN150" s="2"/>
      <c r="AO150" s="2"/>
    </row>
    <row r="151" spans="1:41" x14ac:dyDescent="0.25">
      <c r="A151" s="6">
        <v>4</v>
      </c>
      <c r="B151" s="1" t="s">
        <v>101</v>
      </c>
      <c r="C151" s="3">
        <v>1</v>
      </c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6">
        <f t="shared" si="5"/>
        <v>1</v>
      </c>
      <c r="AK151" s="2"/>
      <c r="AL151" s="2"/>
      <c r="AM151" s="2"/>
      <c r="AN151" s="2"/>
      <c r="AO151" s="2"/>
    </row>
    <row r="152" spans="1:41" x14ac:dyDescent="0.25">
      <c r="A152" s="6">
        <v>5</v>
      </c>
      <c r="B152" s="1" t="s">
        <v>102</v>
      </c>
      <c r="C152" s="3">
        <v>12</v>
      </c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6">
        <f t="shared" si="5"/>
        <v>12</v>
      </c>
      <c r="AK152" s="2"/>
      <c r="AL152" s="2"/>
      <c r="AM152" s="2"/>
      <c r="AN152" s="2"/>
      <c r="AO152" s="2"/>
    </row>
    <row r="153" spans="1:41" x14ac:dyDescent="0.25">
      <c r="A153" s="6">
        <v>6</v>
      </c>
      <c r="B153" s="1" t="s">
        <v>103</v>
      </c>
      <c r="C153" s="3">
        <v>5</v>
      </c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6">
        <f t="shared" si="5"/>
        <v>5</v>
      </c>
      <c r="AK153" s="2"/>
      <c r="AL153" s="2"/>
      <c r="AM153" s="2"/>
      <c r="AN153" s="2"/>
      <c r="AO153" s="2"/>
    </row>
    <row r="154" spans="1:41" x14ac:dyDescent="0.25">
      <c r="A154" s="6">
        <v>7</v>
      </c>
      <c r="B154" s="1" t="s">
        <v>104</v>
      </c>
      <c r="C154" s="3">
        <v>5</v>
      </c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6">
        <f t="shared" si="5"/>
        <v>5</v>
      </c>
      <c r="AK154" s="2"/>
      <c r="AL154" s="2"/>
      <c r="AM154" s="2"/>
      <c r="AN154" s="2"/>
      <c r="AO154" s="2"/>
    </row>
    <row r="155" spans="1:41" x14ac:dyDescent="0.25">
      <c r="A155" s="6">
        <v>8</v>
      </c>
      <c r="B155" s="1" t="s">
        <v>105</v>
      </c>
      <c r="C155" s="3">
        <v>3</v>
      </c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6">
        <f t="shared" si="5"/>
        <v>3</v>
      </c>
      <c r="AK155" s="2"/>
      <c r="AL155" s="2"/>
      <c r="AM155" s="2"/>
      <c r="AN155" s="2"/>
      <c r="AO155" s="2"/>
    </row>
    <row r="156" spans="1:41" x14ac:dyDescent="0.25">
      <c r="A156" s="6">
        <v>9</v>
      </c>
      <c r="B156" s="1" t="s">
        <v>106</v>
      </c>
      <c r="C156" s="3">
        <v>1</v>
      </c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6">
        <f t="shared" si="5"/>
        <v>1</v>
      </c>
      <c r="AK156" s="2"/>
      <c r="AL156" s="2"/>
      <c r="AM156" s="2"/>
      <c r="AN156" s="2"/>
      <c r="AO156" s="2"/>
    </row>
    <row r="157" spans="1:41" x14ac:dyDescent="0.25">
      <c r="A157" s="6">
        <v>10</v>
      </c>
      <c r="B157" s="1" t="s">
        <v>107</v>
      </c>
      <c r="C157" s="3">
        <v>1</v>
      </c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6">
        <f t="shared" si="5"/>
        <v>1</v>
      </c>
      <c r="AK157" s="2"/>
      <c r="AL157" s="2"/>
      <c r="AM157" s="2"/>
      <c r="AN157" s="2"/>
      <c r="AO157" s="2"/>
    </row>
    <row r="158" spans="1:41" x14ac:dyDescent="0.25">
      <c r="A158" s="6">
        <v>11</v>
      </c>
      <c r="B158" s="1" t="s">
        <v>108</v>
      </c>
      <c r="C158" s="3">
        <v>1</v>
      </c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6">
        <f t="shared" si="5"/>
        <v>1</v>
      </c>
      <c r="AK158" s="2"/>
      <c r="AL158" s="2"/>
      <c r="AM158" s="2"/>
      <c r="AN158" s="2"/>
      <c r="AO158" s="2"/>
    </row>
    <row r="159" spans="1:41" x14ac:dyDescent="0.25">
      <c r="A159" s="6">
        <v>12</v>
      </c>
      <c r="B159" s="1" t="s">
        <v>109</v>
      </c>
      <c r="C159" s="3">
        <v>1</v>
      </c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6">
        <f t="shared" si="5"/>
        <v>1</v>
      </c>
      <c r="AK159" s="2"/>
      <c r="AL159" s="2"/>
      <c r="AM159" s="2"/>
      <c r="AN159" s="2"/>
      <c r="AO159" s="2"/>
    </row>
    <row r="160" spans="1:41" x14ac:dyDescent="0.25">
      <c r="A160" s="6">
        <v>14</v>
      </c>
      <c r="B160" s="1" t="s">
        <v>111</v>
      </c>
      <c r="C160" s="3">
        <v>1</v>
      </c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6">
        <f t="shared" si="5"/>
        <v>1</v>
      </c>
      <c r="AK160" s="2"/>
      <c r="AL160" s="2"/>
      <c r="AM160" s="2"/>
      <c r="AN160" s="2"/>
      <c r="AO160" s="2"/>
    </row>
    <row r="161" spans="1:41" x14ac:dyDescent="0.25">
      <c r="A161" s="6">
        <v>15</v>
      </c>
      <c r="B161" s="1" t="s">
        <v>112</v>
      </c>
      <c r="C161" s="3">
        <v>1</v>
      </c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6">
        <f t="shared" si="5"/>
        <v>1</v>
      </c>
      <c r="AK161" s="2"/>
      <c r="AL161" s="2"/>
      <c r="AM161" s="2"/>
      <c r="AN161" s="2"/>
      <c r="AO161" s="2"/>
    </row>
    <row r="162" spans="1:41" x14ac:dyDescent="0.25">
      <c r="A162" s="6">
        <v>16</v>
      </c>
      <c r="B162" s="1" t="s">
        <v>113</v>
      </c>
      <c r="C162" s="3">
        <v>1</v>
      </c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6">
        <f t="shared" si="5"/>
        <v>1</v>
      </c>
      <c r="AK162" s="2"/>
      <c r="AL162" s="2"/>
      <c r="AM162" s="2"/>
      <c r="AN162" s="2"/>
      <c r="AO162" s="2"/>
    </row>
    <row r="163" spans="1:41" x14ac:dyDescent="0.25">
      <c r="A163" s="6">
        <v>17</v>
      </c>
      <c r="B163" s="1" t="s">
        <v>114</v>
      </c>
      <c r="C163" s="3">
        <v>1</v>
      </c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6">
        <f t="shared" si="5"/>
        <v>1</v>
      </c>
      <c r="AK163" s="2"/>
      <c r="AL163" s="2"/>
      <c r="AM163" s="2"/>
      <c r="AN163" s="2"/>
      <c r="AO163" s="2"/>
    </row>
    <row r="164" spans="1:41" x14ac:dyDescent="0.25">
      <c r="A164" s="6">
        <v>18</v>
      </c>
      <c r="B164" s="1" t="s">
        <v>115</v>
      </c>
      <c r="C164" s="3">
        <v>50</v>
      </c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6">
        <f t="shared" si="5"/>
        <v>50</v>
      </c>
      <c r="AK164" s="2"/>
      <c r="AL164" s="2"/>
      <c r="AM164" s="2"/>
      <c r="AN164" s="2"/>
      <c r="AO164" s="2"/>
    </row>
    <row r="165" spans="1:41" x14ac:dyDescent="0.25">
      <c r="A165" s="6">
        <v>19</v>
      </c>
      <c r="B165" s="1" t="s">
        <v>116</v>
      </c>
      <c r="C165" s="3">
        <v>40</v>
      </c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6">
        <f t="shared" si="5"/>
        <v>40</v>
      </c>
      <c r="AK165" s="2"/>
      <c r="AL165" s="2"/>
      <c r="AM165" s="2"/>
      <c r="AN165" s="2"/>
      <c r="AO165" s="2"/>
    </row>
    <row r="166" spans="1:41" x14ac:dyDescent="0.25">
      <c r="A166" s="6">
        <v>20</v>
      </c>
      <c r="B166" s="1" t="s">
        <v>117</v>
      </c>
      <c r="C166" s="3">
        <v>41</v>
      </c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6">
        <f t="shared" si="5"/>
        <v>41</v>
      </c>
      <c r="AK166" s="2"/>
      <c r="AL166" s="2"/>
      <c r="AM166" s="2"/>
      <c r="AN166" s="2"/>
      <c r="AO166" s="2"/>
    </row>
    <row r="167" spans="1:41" x14ac:dyDescent="0.25">
      <c r="A167" s="6">
        <v>21</v>
      </c>
      <c r="B167" s="1" t="s">
        <v>118</v>
      </c>
      <c r="C167" s="3">
        <v>42</v>
      </c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6">
        <f t="shared" si="5"/>
        <v>42</v>
      </c>
      <c r="AK167" s="2"/>
      <c r="AL167" s="2"/>
      <c r="AM167" s="2"/>
      <c r="AN167" s="2"/>
      <c r="AO167" s="2"/>
    </row>
    <row r="168" spans="1:41" x14ac:dyDescent="0.25">
      <c r="A168" s="6">
        <v>22</v>
      </c>
      <c r="B168" s="1" t="s">
        <v>110</v>
      </c>
      <c r="C168" s="3">
        <v>3</v>
      </c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6">
        <f t="shared" si="5"/>
        <v>3</v>
      </c>
      <c r="AK168" s="2"/>
      <c r="AL168" s="2"/>
      <c r="AM168" s="2"/>
      <c r="AN168" s="2"/>
      <c r="AO168" s="2"/>
    </row>
    <row r="169" spans="1:41" x14ac:dyDescent="0.25">
      <c r="A169" s="6">
        <v>23</v>
      </c>
      <c r="B169" s="1" t="s">
        <v>119</v>
      </c>
      <c r="C169" s="3">
        <v>2</v>
      </c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6">
        <f t="shared" si="5"/>
        <v>2</v>
      </c>
      <c r="AK169" s="2"/>
      <c r="AL169" s="2"/>
      <c r="AM169" s="2"/>
      <c r="AN169" s="2"/>
      <c r="AO169" s="2"/>
    </row>
    <row r="170" spans="1:41" x14ac:dyDescent="0.25">
      <c r="A170" s="6">
        <v>24</v>
      </c>
      <c r="B170" s="1" t="s">
        <v>120</v>
      </c>
      <c r="C170" s="3">
        <v>2</v>
      </c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6">
        <f t="shared" si="5"/>
        <v>2</v>
      </c>
      <c r="AK170" s="2"/>
      <c r="AL170" s="2"/>
      <c r="AM170" s="2"/>
      <c r="AN170" s="2"/>
      <c r="AO170" s="2"/>
    </row>
    <row r="171" spans="1:41" x14ac:dyDescent="0.25">
      <c r="A171" s="6">
        <v>25</v>
      </c>
      <c r="B171" s="1" t="s">
        <v>121</v>
      </c>
      <c r="C171" s="3">
        <v>2</v>
      </c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6">
        <f t="shared" si="5"/>
        <v>2</v>
      </c>
      <c r="AK171" s="2"/>
      <c r="AL171" s="2"/>
      <c r="AM171" s="2"/>
      <c r="AN171" s="2"/>
      <c r="AO171" s="2"/>
    </row>
    <row r="172" spans="1:41" x14ac:dyDescent="0.25">
      <c r="A172" s="6">
        <v>26</v>
      </c>
      <c r="B172" s="1" t="s">
        <v>122</v>
      </c>
      <c r="C172" s="6">
        <v>31</v>
      </c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6">
        <f t="shared" si="5"/>
        <v>31</v>
      </c>
      <c r="AK172" s="2"/>
      <c r="AL172" s="2"/>
      <c r="AM172" s="2"/>
      <c r="AN172" s="2"/>
      <c r="AO172" s="2"/>
    </row>
    <row r="173" spans="1:41" x14ac:dyDescent="0.25">
      <c r="A173" s="6">
        <v>27</v>
      </c>
      <c r="B173" s="1" t="s">
        <v>123</v>
      </c>
      <c r="C173" s="6">
        <v>31</v>
      </c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6">
        <f t="shared" si="5"/>
        <v>31</v>
      </c>
      <c r="AK173" s="2"/>
      <c r="AL173" s="2"/>
      <c r="AM173" s="2"/>
      <c r="AN173" s="2"/>
      <c r="AO173" s="2"/>
    </row>
    <row r="174" spans="1:41" x14ac:dyDescent="0.25">
      <c r="A174" s="6">
        <v>28</v>
      </c>
      <c r="B174" s="1" t="s">
        <v>124</v>
      </c>
      <c r="C174" s="6">
        <v>29</v>
      </c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6">
        <f t="shared" si="5"/>
        <v>29</v>
      </c>
      <c r="AK174" s="2"/>
      <c r="AL174" s="2"/>
      <c r="AM174" s="2"/>
      <c r="AN174" s="2"/>
      <c r="AO174" s="2"/>
    </row>
    <row r="175" spans="1:41" x14ac:dyDescent="0.25">
      <c r="A175" s="6">
        <v>29</v>
      </c>
      <c r="B175" s="1" t="s">
        <v>125</v>
      </c>
      <c r="C175" s="6">
        <v>30</v>
      </c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6">
        <f t="shared" si="5"/>
        <v>30</v>
      </c>
      <c r="AK175" s="2"/>
      <c r="AL175" s="2"/>
      <c r="AM175" s="2"/>
      <c r="AN175" s="2"/>
      <c r="AO175" s="2"/>
    </row>
    <row r="176" spans="1:41" x14ac:dyDescent="0.25">
      <c r="A176" s="6">
        <v>30</v>
      </c>
      <c r="B176" s="1" t="s">
        <v>126</v>
      </c>
      <c r="C176" s="6">
        <v>2</v>
      </c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6">
        <f t="shared" si="5"/>
        <v>2</v>
      </c>
      <c r="AK176" s="2"/>
      <c r="AL176" s="2"/>
      <c r="AM176" s="2"/>
      <c r="AN176" s="2"/>
      <c r="AO176" s="2"/>
    </row>
    <row r="177" spans="1:41" x14ac:dyDescent="0.25">
      <c r="A177" s="6">
        <v>31</v>
      </c>
      <c r="B177" s="1" t="s">
        <v>127</v>
      </c>
      <c r="C177" s="6">
        <v>4</v>
      </c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6">
        <f t="shared" si="5"/>
        <v>4</v>
      </c>
      <c r="AK177" s="2"/>
      <c r="AL177" s="2"/>
      <c r="AM177" s="2"/>
      <c r="AN177" s="2"/>
      <c r="AO177" s="2"/>
    </row>
    <row r="178" spans="1:41" x14ac:dyDescent="0.25">
      <c r="A178" s="6">
        <v>32</v>
      </c>
      <c r="B178" s="1" t="s">
        <v>128</v>
      </c>
      <c r="C178" s="6">
        <v>4</v>
      </c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6">
        <f t="shared" si="5"/>
        <v>4</v>
      </c>
      <c r="AK178" s="2"/>
      <c r="AL178" s="2"/>
      <c r="AM178" s="2"/>
      <c r="AN178" s="2"/>
      <c r="AO178" s="2"/>
    </row>
    <row r="179" spans="1:41" x14ac:dyDescent="0.25">
      <c r="A179" s="6">
        <v>33</v>
      </c>
      <c r="B179" s="1" t="s">
        <v>129</v>
      </c>
      <c r="C179" s="6">
        <v>4</v>
      </c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6">
        <f t="shared" si="5"/>
        <v>4</v>
      </c>
      <c r="AK179" s="2"/>
      <c r="AL179" s="2"/>
      <c r="AM179" s="2"/>
      <c r="AN179" s="2"/>
      <c r="AO179" s="2"/>
    </row>
    <row r="180" spans="1:41" x14ac:dyDescent="0.25">
      <c r="A180" s="6">
        <v>34</v>
      </c>
      <c r="B180" s="1" t="s">
        <v>130</v>
      </c>
      <c r="C180" s="6">
        <v>17</v>
      </c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6">
        <f t="shared" si="5"/>
        <v>17</v>
      </c>
      <c r="AK180" s="2"/>
      <c r="AL180" s="2"/>
      <c r="AM180" s="2"/>
      <c r="AN180" s="2"/>
      <c r="AO180" s="2"/>
    </row>
    <row r="181" spans="1:41" x14ac:dyDescent="0.25">
      <c r="A181" s="6">
        <v>35</v>
      </c>
      <c r="B181" s="1" t="s">
        <v>131</v>
      </c>
      <c r="C181" s="6">
        <v>11</v>
      </c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6">
        <f t="shared" si="5"/>
        <v>11</v>
      </c>
      <c r="AK181" s="2"/>
      <c r="AL181" s="2"/>
      <c r="AM181" s="2"/>
      <c r="AN181" s="2"/>
      <c r="AO181" s="2"/>
    </row>
    <row r="182" spans="1:41" x14ac:dyDescent="0.25">
      <c r="A182" s="6">
        <v>36</v>
      </c>
      <c r="B182" s="1" t="s">
        <v>132</v>
      </c>
      <c r="C182" s="6">
        <v>11</v>
      </c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6">
        <f t="shared" si="5"/>
        <v>11</v>
      </c>
      <c r="AK182" s="2"/>
      <c r="AL182" s="2"/>
      <c r="AM182" s="2"/>
      <c r="AN182" s="2"/>
      <c r="AO182" s="2"/>
    </row>
    <row r="183" spans="1:41" x14ac:dyDescent="0.25">
      <c r="A183" s="6">
        <v>37</v>
      </c>
      <c r="B183" s="1" t="s">
        <v>133</v>
      </c>
      <c r="C183" s="6">
        <v>11</v>
      </c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6">
        <f t="shared" si="5"/>
        <v>11</v>
      </c>
      <c r="AK183" s="2"/>
      <c r="AL183" s="2"/>
      <c r="AM183" s="2"/>
      <c r="AN183" s="2"/>
      <c r="AO183" s="2"/>
    </row>
    <row r="184" spans="1:41" x14ac:dyDescent="0.25">
      <c r="A184" s="6">
        <v>38</v>
      </c>
      <c r="B184" s="1" t="s">
        <v>134</v>
      </c>
      <c r="C184" s="6">
        <v>2</v>
      </c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6">
        <f t="shared" si="5"/>
        <v>2</v>
      </c>
      <c r="AK184" s="2"/>
      <c r="AL184" s="2"/>
      <c r="AM184" s="2"/>
      <c r="AN184" s="2"/>
      <c r="AO184" s="2"/>
    </row>
    <row r="185" spans="1:41" x14ac:dyDescent="0.25">
      <c r="A185" s="6">
        <v>39</v>
      </c>
      <c r="B185" s="1" t="s">
        <v>135</v>
      </c>
      <c r="C185" s="6">
        <v>3</v>
      </c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6">
        <f t="shared" si="5"/>
        <v>3</v>
      </c>
      <c r="AK185" s="2"/>
      <c r="AL185" s="2"/>
      <c r="AM185" s="2"/>
      <c r="AN185" s="2"/>
      <c r="AO185" s="2"/>
    </row>
    <row r="186" spans="1:41" x14ac:dyDescent="0.25">
      <c r="A186" s="6">
        <v>40</v>
      </c>
      <c r="B186" s="1" t="s">
        <v>136</v>
      </c>
      <c r="C186" s="6">
        <v>3</v>
      </c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6">
        <f t="shared" si="5"/>
        <v>3</v>
      </c>
      <c r="AK186" s="2"/>
      <c r="AL186" s="2"/>
      <c r="AM186" s="2"/>
      <c r="AN186" s="2"/>
      <c r="AO186" s="2"/>
    </row>
    <row r="187" spans="1:41" x14ac:dyDescent="0.25">
      <c r="A187" s="6">
        <v>41</v>
      </c>
      <c r="B187" s="1" t="s">
        <v>137</v>
      </c>
      <c r="C187" s="6">
        <v>2</v>
      </c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6">
        <f t="shared" si="5"/>
        <v>2</v>
      </c>
      <c r="AK187" s="2"/>
      <c r="AL187" s="2"/>
      <c r="AM187" s="2"/>
      <c r="AN187" s="2"/>
      <c r="AO187" s="2"/>
    </row>
    <row r="188" spans="1:41" x14ac:dyDescent="0.25">
      <c r="A188" s="6">
        <v>42</v>
      </c>
      <c r="B188" s="2" t="s">
        <v>138</v>
      </c>
      <c r="C188" s="6">
        <v>3</v>
      </c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6">
        <f t="shared" si="5"/>
        <v>3</v>
      </c>
      <c r="AK188" s="2"/>
      <c r="AL188" s="2"/>
      <c r="AM188" s="2"/>
      <c r="AN188" s="2"/>
      <c r="AO188" s="2"/>
    </row>
    <row r="189" spans="1:41" x14ac:dyDescent="0.25">
      <c r="A189" s="6">
        <v>43</v>
      </c>
      <c r="B189" s="2" t="s">
        <v>139</v>
      </c>
      <c r="C189" s="6">
        <v>3</v>
      </c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6">
        <f t="shared" si="5"/>
        <v>3</v>
      </c>
      <c r="AK189" s="2"/>
      <c r="AL189" s="2"/>
      <c r="AM189" s="2"/>
      <c r="AN189" s="2"/>
      <c r="AO189" s="2"/>
    </row>
    <row r="190" spans="1:41" x14ac:dyDescent="0.25">
      <c r="A190" s="6">
        <v>44</v>
      </c>
      <c r="B190" s="2" t="s">
        <v>140</v>
      </c>
      <c r="C190" s="6">
        <v>2</v>
      </c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6">
        <f t="shared" si="5"/>
        <v>2</v>
      </c>
      <c r="AK190" s="2"/>
      <c r="AL190" s="2"/>
      <c r="AM190" s="2"/>
      <c r="AN190" s="2"/>
      <c r="AO190" s="2"/>
    </row>
    <row r="191" spans="1:41" x14ac:dyDescent="0.25">
      <c r="A191" s="6">
        <v>45</v>
      </c>
      <c r="B191" s="2" t="s">
        <v>141</v>
      </c>
      <c r="C191" s="6">
        <v>12</v>
      </c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6">
        <f t="shared" si="5"/>
        <v>12</v>
      </c>
      <c r="AK191" s="2"/>
      <c r="AL191" s="2"/>
      <c r="AM191" s="2"/>
      <c r="AN191" s="2"/>
      <c r="AO191" s="2"/>
    </row>
    <row r="192" spans="1:41" x14ac:dyDescent="0.25">
      <c r="A192" s="6">
        <v>46</v>
      </c>
      <c r="B192" s="2" t="s">
        <v>142</v>
      </c>
      <c r="C192" s="6">
        <v>2</v>
      </c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6">
        <f t="shared" si="5"/>
        <v>2</v>
      </c>
      <c r="AK192" s="2"/>
      <c r="AL192" s="2"/>
      <c r="AM192" s="2"/>
      <c r="AN192" s="2"/>
      <c r="AO192" s="2"/>
    </row>
    <row r="193" spans="1:41" x14ac:dyDescent="0.25">
      <c r="A193" s="6">
        <v>47</v>
      </c>
      <c r="B193" s="2" t="s">
        <v>143</v>
      </c>
      <c r="C193" s="6">
        <v>3</v>
      </c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6">
        <f t="shared" si="5"/>
        <v>3</v>
      </c>
      <c r="AK193" s="2"/>
      <c r="AL193" s="2"/>
      <c r="AM193" s="2"/>
      <c r="AN193" s="2"/>
      <c r="AO193" s="2"/>
    </row>
    <row r="199" spans="1:41" x14ac:dyDescent="0.25">
      <c r="A199" s="38" t="s">
        <v>157</v>
      </c>
      <c r="B199" s="38"/>
    </row>
    <row r="200" spans="1:41" x14ac:dyDescent="0.25">
      <c r="A200" s="12" t="s">
        <v>0</v>
      </c>
      <c r="B200" s="12" t="s">
        <v>1</v>
      </c>
      <c r="C200" s="14" t="s">
        <v>2</v>
      </c>
      <c r="D200" s="13">
        <v>1</v>
      </c>
      <c r="E200" s="13">
        <v>2</v>
      </c>
      <c r="F200" s="13">
        <v>3</v>
      </c>
      <c r="G200" s="13">
        <v>4</v>
      </c>
      <c r="H200" s="13">
        <v>5</v>
      </c>
      <c r="I200" s="13">
        <v>6</v>
      </c>
      <c r="J200" s="13">
        <v>7</v>
      </c>
      <c r="K200" s="13">
        <v>8</v>
      </c>
      <c r="L200" s="13">
        <v>9</v>
      </c>
      <c r="M200" s="13">
        <v>10</v>
      </c>
      <c r="N200" s="13">
        <v>11</v>
      </c>
      <c r="O200" s="13">
        <v>12</v>
      </c>
      <c r="P200" s="13">
        <v>13</v>
      </c>
      <c r="Q200" s="13">
        <v>14</v>
      </c>
      <c r="R200" s="13">
        <v>15</v>
      </c>
      <c r="S200" s="13">
        <v>16</v>
      </c>
      <c r="T200" s="13">
        <v>17</v>
      </c>
      <c r="U200" s="13">
        <v>18</v>
      </c>
      <c r="V200" s="13">
        <v>19</v>
      </c>
      <c r="W200" s="13">
        <v>20</v>
      </c>
      <c r="X200" s="13">
        <v>21</v>
      </c>
      <c r="Y200" s="13">
        <v>22</v>
      </c>
      <c r="Z200" s="13">
        <v>23</v>
      </c>
      <c r="AA200" s="13">
        <v>24</v>
      </c>
      <c r="AB200" s="13">
        <v>25</v>
      </c>
      <c r="AC200" s="13">
        <v>26</v>
      </c>
      <c r="AD200" s="13">
        <v>27</v>
      </c>
      <c r="AE200" s="13">
        <v>28</v>
      </c>
      <c r="AF200" s="13">
        <v>29</v>
      </c>
      <c r="AG200" s="13">
        <v>30</v>
      </c>
      <c r="AH200" s="13">
        <v>31</v>
      </c>
      <c r="AI200" s="14" t="s">
        <v>3</v>
      </c>
    </row>
    <row r="201" spans="1:41" x14ac:dyDescent="0.25">
      <c r="A201" s="6">
        <v>1</v>
      </c>
      <c r="B201" s="1" t="s">
        <v>158</v>
      </c>
      <c r="C201" s="6">
        <v>1</v>
      </c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6">
        <f>C201-D201-E201-F201-G201-H201-I201-J201-K201-L201-M201-N201-O201-P201-Q201-R201-S201-T201-U201-V201-W201-X201-Y201-Z201-AA201-AB201-AC201-AD201-AE201-AF201-AG201-AH201</f>
        <v>1</v>
      </c>
    </row>
    <row r="202" spans="1:41" x14ac:dyDescent="0.25">
      <c r="A202" s="6"/>
      <c r="B202" s="1"/>
      <c r="C202" s="6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6">
        <f t="shared" ref="AI202:AI212" si="6">C202-D202-E202-F202-G202-H202-I202-J202-K202-L202-M202-N202-O202-P202-Q202-R202-S202-T202-U202-V202-W202-X202-Y202-Z202-AA202-AB202-AC202-AD202-AE202-AF202-AG202-AH202</f>
        <v>0</v>
      </c>
    </row>
    <row r="203" spans="1:41" x14ac:dyDescent="0.25">
      <c r="A203" s="6"/>
      <c r="B203" s="1"/>
      <c r="C203" s="6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6">
        <f t="shared" si="6"/>
        <v>0</v>
      </c>
    </row>
    <row r="204" spans="1:41" x14ac:dyDescent="0.25">
      <c r="A204" s="6"/>
      <c r="B204" s="2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6">
        <f t="shared" si="6"/>
        <v>0</v>
      </c>
    </row>
    <row r="205" spans="1:41" x14ac:dyDescent="0.25">
      <c r="A205" s="6"/>
      <c r="B205" s="2"/>
      <c r="C205" s="6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6">
        <f t="shared" si="6"/>
        <v>0</v>
      </c>
    </row>
    <row r="206" spans="1:41" x14ac:dyDescent="0.25">
      <c r="A206" s="6"/>
      <c r="B206" s="2"/>
      <c r="C206" s="6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6">
        <f t="shared" si="6"/>
        <v>0</v>
      </c>
    </row>
    <row r="207" spans="1:41" x14ac:dyDescent="0.25">
      <c r="A207" s="6"/>
      <c r="B207" s="2"/>
      <c r="C207" s="6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6">
        <f t="shared" si="6"/>
        <v>0</v>
      </c>
    </row>
    <row r="208" spans="1:41" x14ac:dyDescent="0.25">
      <c r="A208" s="6"/>
      <c r="B208" s="2"/>
      <c r="C208" s="6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6">
        <f t="shared" si="6"/>
        <v>0</v>
      </c>
    </row>
    <row r="209" spans="1:35" x14ac:dyDescent="0.25">
      <c r="A209" s="6"/>
      <c r="B209" s="2"/>
      <c r="C209" s="6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6">
        <f t="shared" si="6"/>
        <v>0</v>
      </c>
    </row>
    <row r="210" spans="1:35" x14ac:dyDescent="0.25">
      <c r="A210" s="6"/>
      <c r="B210" s="2"/>
      <c r="C210" s="6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6">
        <f t="shared" si="6"/>
        <v>0</v>
      </c>
    </row>
    <row r="211" spans="1:35" x14ac:dyDescent="0.25">
      <c r="A211" s="6"/>
      <c r="B211" s="2"/>
      <c r="C211" s="6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6">
        <f t="shared" si="6"/>
        <v>0</v>
      </c>
    </row>
    <row r="212" spans="1:35" x14ac:dyDescent="0.25">
      <c r="A212" s="6"/>
      <c r="B212" s="2"/>
      <c r="C212" s="6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6">
        <f t="shared" si="6"/>
        <v>0</v>
      </c>
    </row>
  </sheetData>
  <mergeCells count="12">
    <mergeCell ref="A199:B199"/>
    <mergeCell ref="A104:B104"/>
    <mergeCell ref="A146:B146"/>
    <mergeCell ref="A2:B2"/>
    <mergeCell ref="A1:AI1"/>
    <mergeCell ref="A33:B33"/>
    <mergeCell ref="A52:B52"/>
    <mergeCell ref="AK147:AO147"/>
    <mergeCell ref="AK3:AO3"/>
    <mergeCell ref="AK34:AO34"/>
    <mergeCell ref="AK53:AO53"/>
    <mergeCell ref="AK105:AO105"/>
  </mergeCells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4F181-CC56-4350-89D9-D201583208B5}">
  <dimension ref="A1:AO213"/>
  <sheetViews>
    <sheetView tabSelected="1" topLeftCell="A72" zoomScale="89" zoomScaleNormal="89" workbookViewId="0">
      <selection activeCell="G86" sqref="G86"/>
    </sheetView>
  </sheetViews>
  <sheetFormatPr defaultColWidth="9.140625" defaultRowHeight="15" x14ac:dyDescent="0.25"/>
  <cols>
    <col min="1" max="1" width="4.42578125" style="9" customWidth="1"/>
    <col min="2" max="2" width="56.85546875" style="9" customWidth="1"/>
    <col min="3" max="3" width="11" style="10" customWidth="1"/>
    <col min="4" max="34" width="5.85546875" style="11" customWidth="1"/>
    <col min="35" max="36" width="11.7109375" style="9" customWidth="1"/>
    <col min="37" max="41" width="15.85546875" style="9" customWidth="1"/>
    <col min="42" max="16384" width="9.140625" style="9"/>
  </cols>
  <sheetData>
    <row r="1" spans="1:41" ht="15.75" customHeight="1" x14ac:dyDescent="0.3">
      <c r="A1" s="41" t="s">
        <v>176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  <c r="AC1" s="41"/>
      <c r="AD1" s="41"/>
      <c r="AE1" s="41"/>
      <c r="AF1" s="41"/>
      <c r="AG1" s="41"/>
      <c r="AH1" s="41"/>
      <c r="AI1" s="41"/>
      <c r="AJ1" s="8"/>
    </row>
    <row r="2" spans="1:41" x14ac:dyDescent="0.25">
      <c r="A2" s="38" t="s">
        <v>21</v>
      </c>
      <c r="B2" s="38"/>
    </row>
    <row r="3" spans="1:41" x14ac:dyDescent="0.25">
      <c r="A3" s="12" t="s">
        <v>0</v>
      </c>
      <c r="B3" s="12" t="s">
        <v>1</v>
      </c>
      <c r="C3" s="13" t="s">
        <v>2</v>
      </c>
      <c r="D3" s="13">
        <v>1</v>
      </c>
      <c r="E3" s="13">
        <v>2</v>
      </c>
      <c r="F3" s="13">
        <v>3</v>
      </c>
      <c r="G3" s="13">
        <v>4</v>
      </c>
      <c r="H3" s="13">
        <v>5</v>
      </c>
      <c r="I3" s="13">
        <v>6</v>
      </c>
      <c r="J3" s="13">
        <v>7</v>
      </c>
      <c r="K3" s="13">
        <v>8</v>
      </c>
      <c r="L3" s="13">
        <v>9</v>
      </c>
      <c r="M3" s="13">
        <v>10</v>
      </c>
      <c r="N3" s="13">
        <v>11</v>
      </c>
      <c r="O3" s="13">
        <v>12</v>
      </c>
      <c r="P3" s="13">
        <v>13</v>
      </c>
      <c r="Q3" s="13">
        <v>14</v>
      </c>
      <c r="R3" s="13">
        <v>15</v>
      </c>
      <c r="S3" s="13">
        <v>16</v>
      </c>
      <c r="T3" s="13">
        <v>17</v>
      </c>
      <c r="U3" s="13">
        <v>18</v>
      </c>
      <c r="V3" s="13">
        <v>19</v>
      </c>
      <c r="W3" s="13">
        <v>20</v>
      </c>
      <c r="X3" s="13">
        <v>21</v>
      </c>
      <c r="Y3" s="13">
        <v>22</v>
      </c>
      <c r="Z3" s="13">
        <v>23</v>
      </c>
      <c r="AA3" s="13">
        <v>24</v>
      </c>
      <c r="AB3" s="13">
        <v>25</v>
      </c>
      <c r="AC3" s="13">
        <v>26</v>
      </c>
      <c r="AD3" s="13">
        <v>27</v>
      </c>
      <c r="AE3" s="13">
        <v>28</v>
      </c>
      <c r="AF3" s="13">
        <v>29</v>
      </c>
      <c r="AG3" s="13">
        <v>30</v>
      </c>
      <c r="AH3" s="13">
        <v>31</v>
      </c>
      <c r="AI3" s="14" t="s">
        <v>3</v>
      </c>
      <c r="AJ3" s="10"/>
      <c r="AK3" s="35" t="s">
        <v>49</v>
      </c>
      <c r="AL3" s="36"/>
      <c r="AM3" s="36"/>
      <c r="AN3" s="36"/>
      <c r="AO3" s="37"/>
    </row>
    <row r="4" spans="1:41" x14ac:dyDescent="0.25">
      <c r="A4" s="6">
        <v>1</v>
      </c>
      <c r="B4" s="1" t="s">
        <v>4</v>
      </c>
      <c r="C4" s="6">
        <v>14</v>
      </c>
      <c r="D4" s="7">
        <v>3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6">
        <f>C4-D4-E4-F4-G4-H4-I4-J4-K4-L4-M4-N4-O4</f>
        <v>11</v>
      </c>
      <c r="AJ4" s="10"/>
      <c r="AK4" s="2"/>
      <c r="AL4" s="2"/>
      <c r="AM4" s="2"/>
      <c r="AN4" s="2"/>
      <c r="AO4" s="2"/>
    </row>
    <row r="5" spans="1:41" x14ac:dyDescent="0.25">
      <c r="A5" s="6">
        <v>2</v>
      </c>
      <c r="B5" s="1" t="s">
        <v>5</v>
      </c>
      <c r="C5" s="6">
        <v>36</v>
      </c>
      <c r="D5" s="7">
        <v>2</v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6">
        <f t="shared" ref="AI5:AI28" si="0">C5-D5-E5-F5-G5-H5-I5-J5-K5-L5-M5-N5-O5-P5-Q5-R5-S5-T5-U5-V5-W5-X5-Y5-Z5-AA5-AB5-AC5-AD5-AE5-AF5-AG5-AH5</f>
        <v>34</v>
      </c>
      <c r="AJ5" s="10"/>
      <c r="AK5" s="2"/>
      <c r="AL5" s="2"/>
      <c r="AM5" s="2"/>
      <c r="AN5" s="2"/>
      <c r="AO5" s="2"/>
    </row>
    <row r="6" spans="1:41" x14ac:dyDescent="0.25">
      <c r="A6" s="6">
        <v>3</v>
      </c>
      <c r="B6" s="1" t="s">
        <v>6</v>
      </c>
      <c r="C6" s="3">
        <v>3</v>
      </c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6">
        <f t="shared" si="0"/>
        <v>3</v>
      </c>
      <c r="AJ6" s="10"/>
      <c r="AK6" s="2"/>
      <c r="AL6" s="2"/>
      <c r="AM6" s="2"/>
      <c r="AN6" s="2"/>
      <c r="AO6" s="2"/>
    </row>
    <row r="7" spans="1:41" x14ac:dyDescent="0.25">
      <c r="A7" s="6">
        <v>4</v>
      </c>
      <c r="B7" s="1" t="s">
        <v>7</v>
      </c>
      <c r="C7" s="3">
        <v>1</v>
      </c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6">
        <f t="shared" si="0"/>
        <v>1</v>
      </c>
      <c r="AJ7" s="10"/>
      <c r="AK7" s="2"/>
      <c r="AL7" s="2"/>
      <c r="AM7" s="2"/>
      <c r="AN7" s="2"/>
      <c r="AO7" s="2"/>
    </row>
    <row r="8" spans="1:41" x14ac:dyDescent="0.25">
      <c r="A8" s="6">
        <v>5</v>
      </c>
      <c r="B8" s="1" t="s">
        <v>8</v>
      </c>
      <c r="C8" s="3">
        <v>4</v>
      </c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6">
        <f t="shared" si="0"/>
        <v>4</v>
      </c>
      <c r="AJ8" s="10"/>
      <c r="AK8" s="2"/>
      <c r="AL8" s="2"/>
      <c r="AM8" s="2"/>
      <c r="AN8" s="2"/>
      <c r="AO8" s="2"/>
    </row>
    <row r="9" spans="1:41" x14ac:dyDescent="0.25">
      <c r="A9" s="6">
        <v>6</v>
      </c>
      <c r="B9" s="1" t="s">
        <v>9</v>
      </c>
      <c r="C9" s="3">
        <v>7</v>
      </c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6">
        <f t="shared" si="0"/>
        <v>7</v>
      </c>
      <c r="AJ9" s="10"/>
      <c r="AK9" s="2"/>
      <c r="AL9" s="2"/>
      <c r="AM9" s="2"/>
      <c r="AN9" s="2"/>
      <c r="AO9" s="2"/>
    </row>
    <row r="10" spans="1:41" x14ac:dyDescent="0.25">
      <c r="A10" s="6">
        <v>7</v>
      </c>
      <c r="B10" s="1" t="s">
        <v>10</v>
      </c>
      <c r="C10" s="3">
        <v>1</v>
      </c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6">
        <f t="shared" si="0"/>
        <v>1</v>
      </c>
      <c r="AJ10" s="10"/>
      <c r="AK10" s="2"/>
      <c r="AL10" s="2"/>
      <c r="AM10" s="2"/>
      <c r="AN10" s="2"/>
      <c r="AO10" s="2"/>
    </row>
    <row r="11" spans="1:41" x14ac:dyDescent="0.25">
      <c r="A11" s="6">
        <v>8</v>
      </c>
      <c r="B11" s="1" t="s">
        <v>11</v>
      </c>
      <c r="C11" s="3">
        <v>1</v>
      </c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6">
        <f t="shared" si="0"/>
        <v>1</v>
      </c>
      <c r="AJ11" s="10"/>
      <c r="AK11" s="2"/>
      <c r="AL11" s="2"/>
      <c r="AM11" s="2"/>
      <c r="AN11" s="2"/>
      <c r="AO11" s="2"/>
    </row>
    <row r="12" spans="1:41" x14ac:dyDescent="0.25">
      <c r="A12" s="6">
        <v>9</v>
      </c>
      <c r="B12" s="1" t="s">
        <v>12</v>
      </c>
      <c r="C12" s="3">
        <v>1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6">
        <f t="shared" si="0"/>
        <v>1</v>
      </c>
      <c r="AJ12" s="10"/>
      <c r="AK12" s="2"/>
      <c r="AL12" s="2"/>
      <c r="AM12" s="2"/>
      <c r="AN12" s="2"/>
      <c r="AO12" s="2"/>
    </row>
    <row r="13" spans="1:41" x14ac:dyDescent="0.25">
      <c r="A13" s="6">
        <v>10</v>
      </c>
      <c r="B13" s="1" t="s">
        <v>13</v>
      </c>
      <c r="C13" s="3">
        <v>2</v>
      </c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6">
        <f t="shared" si="0"/>
        <v>2</v>
      </c>
      <c r="AJ13" s="10"/>
      <c r="AK13" s="2"/>
      <c r="AL13" s="2"/>
      <c r="AM13" s="2"/>
      <c r="AN13" s="2"/>
      <c r="AO13" s="2"/>
    </row>
    <row r="14" spans="1:41" x14ac:dyDescent="0.25">
      <c r="A14" s="6">
        <v>11</v>
      </c>
      <c r="B14" s="1" t="s">
        <v>14</v>
      </c>
      <c r="C14" s="3">
        <v>3</v>
      </c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6">
        <f t="shared" si="0"/>
        <v>3</v>
      </c>
      <c r="AJ14" s="10"/>
      <c r="AK14" s="2"/>
      <c r="AL14" s="2"/>
      <c r="AM14" s="2"/>
      <c r="AN14" s="2"/>
      <c r="AO14" s="2"/>
    </row>
    <row r="15" spans="1:41" x14ac:dyDescent="0.25">
      <c r="A15" s="6">
        <v>12</v>
      </c>
      <c r="B15" s="1" t="s">
        <v>15</v>
      </c>
      <c r="C15" s="3">
        <v>3</v>
      </c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6">
        <f t="shared" si="0"/>
        <v>3</v>
      </c>
      <c r="AJ15" s="10"/>
      <c r="AK15" s="2"/>
      <c r="AL15" s="2"/>
      <c r="AM15" s="2"/>
      <c r="AN15" s="2"/>
      <c r="AO15" s="2"/>
    </row>
    <row r="16" spans="1:41" x14ac:dyDescent="0.25">
      <c r="A16" s="6">
        <v>13</v>
      </c>
      <c r="B16" s="1" t="s">
        <v>16</v>
      </c>
      <c r="C16" s="3">
        <v>1</v>
      </c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6">
        <f t="shared" si="0"/>
        <v>1</v>
      </c>
      <c r="AJ16" s="10"/>
      <c r="AK16" s="2"/>
      <c r="AL16" s="2"/>
      <c r="AM16" s="2"/>
      <c r="AN16" s="2"/>
      <c r="AO16" s="2"/>
    </row>
    <row r="17" spans="1:41" x14ac:dyDescent="0.25">
      <c r="A17" s="6">
        <v>14</v>
      </c>
      <c r="B17" s="2" t="s">
        <v>17</v>
      </c>
      <c r="C17" s="3">
        <v>4</v>
      </c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6">
        <f t="shared" si="0"/>
        <v>4</v>
      </c>
      <c r="AJ17" s="10"/>
      <c r="AK17" s="2"/>
      <c r="AL17" s="2"/>
      <c r="AM17" s="2"/>
      <c r="AN17" s="2"/>
      <c r="AO17" s="2"/>
    </row>
    <row r="18" spans="1:41" x14ac:dyDescent="0.25">
      <c r="A18" s="6">
        <v>15</v>
      </c>
      <c r="B18" s="2" t="s">
        <v>18</v>
      </c>
      <c r="C18" s="3">
        <v>2</v>
      </c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6">
        <f t="shared" si="0"/>
        <v>2</v>
      </c>
      <c r="AJ18" s="10"/>
      <c r="AK18" s="2"/>
      <c r="AL18" s="2"/>
      <c r="AM18" s="2"/>
      <c r="AN18" s="2"/>
      <c r="AO18" s="2"/>
    </row>
    <row r="19" spans="1:41" x14ac:dyDescent="0.25">
      <c r="A19" s="6">
        <v>16</v>
      </c>
      <c r="B19" s="2" t="s">
        <v>19</v>
      </c>
      <c r="C19" s="3">
        <v>2</v>
      </c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6">
        <f t="shared" si="0"/>
        <v>2</v>
      </c>
      <c r="AJ19" s="10"/>
      <c r="AK19" s="2"/>
      <c r="AL19" s="2"/>
      <c r="AM19" s="2"/>
      <c r="AN19" s="2"/>
      <c r="AO19" s="2"/>
    </row>
    <row r="20" spans="1:41" x14ac:dyDescent="0.25">
      <c r="A20" s="6">
        <v>17</v>
      </c>
      <c r="B20" s="2" t="s">
        <v>20</v>
      </c>
      <c r="C20" s="3">
        <v>1</v>
      </c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6">
        <f t="shared" si="0"/>
        <v>1</v>
      </c>
      <c r="AJ20" s="10"/>
      <c r="AK20" s="2"/>
      <c r="AL20" s="2"/>
      <c r="AM20" s="2"/>
      <c r="AN20" s="2"/>
      <c r="AO20" s="2"/>
    </row>
    <row r="21" spans="1:41" x14ac:dyDescent="0.25">
      <c r="A21" s="6">
        <v>18</v>
      </c>
      <c r="B21" s="2" t="s">
        <v>159</v>
      </c>
      <c r="C21" s="3">
        <v>27</v>
      </c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6">
        <f t="shared" si="0"/>
        <v>27</v>
      </c>
      <c r="AJ21" s="10"/>
      <c r="AK21" s="32">
        <v>46151</v>
      </c>
      <c r="AL21" s="2"/>
      <c r="AM21" s="2"/>
      <c r="AN21" s="2"/>
      <c r="AO21" s="2"/>
    </row>
    <row r="22" spans="1:41" x14ac:dyDescent="0.25">
      <c r="A22" s="6">
        <v>19</v>
      </c>
      <c r="B22" s="2" t="s">
        <v>50</v>
      </c>
      <c r="C22" s="3">
        <v>5</v>
      </c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6">
        <f t="shared" si="0"/>
        <v>5</v>
      </c>
      <c r="AJ22" s="10"/>
      <c r="AK22" s="33"/>
      <c r="AL22" s="2"/>
      <c r="AM22" s="2"/>
      <c r="AN22" s="2"/>
      <c r="AO22" s="2"/>
    </row>
    <row r="23" spans="1:41" x14ac:dyDescent="0.25">
      <c r="A23" s="6">
        <v>20</v>
      </c>
      <c r="B23" s="2" t="s">
        <v>51</v>
      </c>
      <c r="C23" s="3">
        <v>20</v>
      </c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6">
        <f t="shared" si="0"/>
        <v>20</v>
      </c>
      <c r="AJ23" s="10"/>
      <c r="AK23" s="32">
        <v>46151</v>
      </c>
      <c r="AL23" s="2"/>
      <c r="AM23" s="2"/>
      <c r="AN23" s="2"/>
      <c r="AO23" s="2"/>
    </row>
    <row r="24" spans="1:41" x14ac:dyDescent="0.25">
      <c r="A24" s="6">
        <v>21</v>
      </c>
      <c r="B24" s="2" t="s">
        <v>52</v>
      </c>
      <c r="C24" s="3">
        <v>4</v>
      </c>
      <c r="D24" s="7">
        <v>2</v>
      </c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6">
        <f t="shared" si="0"/>
        <v>2</v>
      </c>
      <c r="AJ24" s="10"/>
      <c r="AK24" s="2"/>
      <c r="AL24" s="2"/>
      <c r="AM24" s="2"/>
      <c r="AN24" s="2"/>
      <c r="AO24" s="2"/>
    </row>
    <row r="25" spans="1:41" x14ac:dyDescent="0.25">
      <c r="A25" s="6">
        <v>22</v>
      </c>
      <c r="B25" s="2" t="s">
        <v>53</v>
      </c>
      <c r="C25" s="3">
        <v>7</v>
      </c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6">
        <f t="shared" si="0"/>
        <v>7</v>
      </c>
      <c r="AJ25" s="10"/>
      <c r="AK25" s="2"/>
      <c r="AL25" s="2"/>
      <c r="AM25" s="2"/>
      <c r="AN25" s="2"/>
      <c r="AO25" s="2"/>
    </row>
    <row r="26" spans="1:41" x14ac:dyDescent="0.25">
      <c r="A26" s="6">
        <v>23</v>
      </c>
      <c r="B26" s="2" t="s">
        <v>54</v>
      </c>
      <c r="C26" s="3">
        <v>7</v>
      </c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6">
        <f t="shared" si="0"/>
        <v>7</v>
      </c>
      <c r="AJ26" s="10"/>
      <c r="AK26" s="2"/>
      <c r="AL26" s="2"/>
      <c r="AM26" s="2"/>
      <c r="AN26" s="2"/>
      <c r="AO26" s="2"/>
    </row>
    <row r="27" spans="1:41" x14ac:dyDescent="0.25">
      <c r="A27" s="6">
        <v>24</v>
      </c>
      <c r="B27" s="2" t="s">
        <v>55</v>
      </c>
      <c r="C27" s="3">
        <v>7</v>
      </c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6">
        <f t="shared" si="0"/>
        <v>7</v>
      </c>
      <c r="AJ27" s="10"/>
      <c r="AK27" s="2"/>
      <c r="AL27" s="2"/>
      <c r="AM27" s="2"/>
      <c r="AN27" s="2"/>
      <c r="AO27" s="2"/>
    </row>
    <row r="28" spans="1:41" x14ac:dyDescent="0.25">
      <c r="A28" s="6">
        <v>25</v>
      </c>
      <c r="B28" s="2" t="s">
        <v>56</v>
      </c>
      <c r="C28" s="6">
        <v>1</v>
      </c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6">
        <f t="shared" si="0"/>
        <v>1</v>
      </c>
      <c r="AJ28" s="10"/>
      <c r="AK28" s="2"/>
      <c r="AL28" s="2"/>
      <c r="AM28" s="2"/>
      <c r="AN28" s="2"/>
      <c r="AO28" s="2"/>
    </row>
    <row r="29" spans="1:41" x14ac:dyDescent="0.25">
      <c r="A29" s="10"/>
      <c r="AI29" s="10"/>
      <c r="AJ29" s="10"/>
    </row>
    <row r="30" spans="1:41" x14ac:dyDescent="0.25">
      <c r="A30" s="10"/>
      <c r="B30" s="9">
        <f>B31</f>
        <v>0</v>
      </c>
    </row>
    <row r="31" spans="1:41" x14ac:dyDescent="0.25">
      <c r="A31" s="10"/>
    </row>
    <row r="32" spans="1:41" x14ac:dyDescent="0.25">
      <c r="A32" s="10"/>
    </row>
    <row r="33" spans="1:41" x14ac:dyDescent="0.25">
      <c r="A33" s="38" t="s">
        <v>23</v>
      </c>
      <c r="B33" s="38"/>
    </row>
    <row r="34" spans="1:41" x14ac:dyDescent="0.25">
      <c r="A34" s="12" t="s">
        <v>0</v>
      </c>
      <c r="B34" s="12" t="s">
        <v>1</v>
      </c>
      <c r="C34" s="14" t="s">
        <v>2</v>
      </c>
      <c r="D34" s="13">
        <v>1</v>
      </c>
      <c r="E34" s="13">
        <v>2</v>
      </c>
      <c r="F34" s="13">
        <v>3</v>
      </c>
      <c r="G34" s="13">
        <v>4</v>
      </c>
      <c r="H34" s="13">
        <v>5</v>
      </c>
      <c r="I34" s="13">
        <v>6</v>
      </c>
      <c r="J34" s="13">
        <v>7</v>
      </c>
      <c r="K34" s="13">
        <v>8</v>
      </c>
      <c r="L34" s="13">
        <v>9</v>
      </c>
      <c r="M34" s="13">
        <v>10</v>
      </c>
      <c r="N34" s="13">
        <v>11</v>
      </c>
      <c r="O34" s="13">
        <v>12</v>
      </c>
      <c r="P34" s="13">
        <v>13</v>
      </c>
      <c r="Q34" s="13">
        <v>14</v>
      </c>
      <c r="R34" s="13">
        <v>15</v>
      </c>
      <c r="S34" s="13">
        <v>16</v>
      </c>
      <c r="T34" s="13">
        <v>17</v>
      </c>
      <c r="U34" s="13">
        <v>18</v>
      </c>
      <c r="V34" s="13">
        <v>19</v>
      </c>
      <c r="W34" s="13">
        <v>20</v>
      </c>
      <c r="X34" s="13">
        <v>21</v>
      </c>
      <c r="Y34" s="13">
        <v>22</v>
      </c>
      <c r="Z34" s="13">
        <v>23</v>
      </c>
      <c r="AA34" s="13">
        <v>24</v>
      </c>
      <c r="AB34" s="13">
        <v>25</v>
      </c>
      <c r="AC34" s="13">
        <v>26</v>
      </c>
      <c r="AD34" s="13">
        <v>27</v>
      </c>
      <c r="AE34" s="13">
        <v>28</v>
      </c>
      <c r="AF34" s="13">
        <v>29</v>
      </c>
      <c r="AG34" s="13">
        <v>30</v>
      </c>
      <c r="AH34" s="13">
        <v>31</v>
      </c>
      <c r="AI34" s="14" t="s">
        <v>3</v>
      </c>
      <c r="AJ34" s="10"/>
      <c r="AK34" s="35" t="s">
        <v>49</v>
      </c>
      <c r="AL34" s="36"/>
      <c r="AM34" s="36"/>
      <c r="AN34" s="36"/>
      <c r="AO34" s="37"/>
    </row>
    <row r="35" spans="1:41" x14ac:dyDescent="0.25">
      <c r="A35" s="6">
        <v>1</v>
      </c>
      <c r="B35" s="1" t="s">
        <v>24</v>
      </c>
      <c r="C35" s="6">
        <v>2</v>
      </c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6">
        <f>C35-D35-E35-F35-G35-H35-I35-J35-K35-L35-M35-N35-O35-P35-Q35-R35-S35-T35-U35-V35-W35-X35-Y35-Z35-AA35-AB35-AC35-AD35-AE35-AF35-AG35-AH35</f>
        <v>2</v>
      </c>
      <c r="AJ35" s="10"/>
      <c r="AK35" s="2"/>
      <c r="AL35" s="2"/>
      <c r="AM35" s="2"/>
      <c r="AN35" s="2"/>
      <c r="AO35" s="2"/>
    </row>
    <row r="36" spans="1:41" x14ac:dyDescent="0.25">
      <c r="A36" s="6">
        <v>2</v>
      </c>
      <c r="B36" s="1" t="s">
        <v>25</v>
      </c>
      <c r="C36" s="6">
        <v>3</v>
      </c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6">
        <f t="shared" ref="AI36:AI47" si="1">C36-D36-E36-F36-G36-H36-I36-J36-K36-L36-M36-N36-O36-P36-Q36-R36-S36-T36-U36-V36-W36-X36-Y36-Z36-AA36-AB36-AC36-AD36-AE36-AF36-AG36-AH36</f>
        <v>3</v>
      </c>
      <c r="AJ36" s="10"/>
      <c r="AK36" s="2"/>
      <c r="AL36" s="2"/>
      <c r="AM36" s="2"/>
      <c r="AN36" s="2"/>
      <c r="AO36" s="2"/>
    </row>
    <row r="37" spans="1:41" x14ac:dyDescent="0.25">
      <c r="A37" s="6">
        <v>3</v>
      </c>
      <c r="B37" s="1" t="s">
        <v>26</v>
      </c>
      <c r="C37" s="6">
        <v>1</v>
      </c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6">
        <f t="shared" si="1"/>
        <v>1</v>
      </c>
      <c r="AJ37" s="10"/>
      <c r="AK37" s="2"/>
      <c r="AL37" s="2"/>
      <c r="AM37" s="2"/>
      <c r="AN37" s="2"/>
      <c r="AO37" s="2"/>
    </row>
    <row r="38" spans="1:41" x14ac:dyDescent="0.25">
      <c r="A38" s="6">
        <v>4</v>
      </c>
      <c r="B38" s="2" t="s">
        <v>27</v>
      </c>
      <c r="C38" s="10">
        <v>1</v>
      </c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6">
        <f t="shared" si="1"/>
        <v>1</v>
      </c>
      <c r="AJ38" s="10"/>
      <c r="AK38" s="2"/>
      <c r="AL38" s="2"/>
      <c r="AM38" s="2"/>
      <c r="AN38" s="2"/>
      <c r="AO38" s="2"/>
    </row>
    <row r="39" spans="1:41" x14ac:dyDescent="0.25">
      <c r="A39" s="6">
        <v>5</v>
      </c>
      <c r="B39" s="2" t="s">
        <v>28</v>
      </c>
      <c r="C39" s="6">
        <v>1</v>
      </c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6">
        <f t="shared" si="1"/>
        <v>1</v>
      </c>
      <c r="AJ39" s="10"/>
      <c r="AK39" s="2"/>
      <c r="AL39" s="2"/>
      <c r="AM39" s="2"/>
      <c r="AN39" s="2"/>
      <c r="AO39" s="2"/>
    </row>
    <row r="40" spans="1:41" x14ac:dyDescent="0.25">
      <c r="A40" s="6">
        <v>6</v>
      </c>
      <c r="B40" s="2" t="s">
        <v>29</v>
      </c>
      <c r="C40" s="6">
        <v>1</v>
      </c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6">
        <f t="shared" si="1"/>
        <v>1</v>
      </c>
      <c r="AJ40" s="10"/>
      <c r="AK40" s="2"/>
      <c r="AL40" s="2"/>
      <c r="AM40" s="2"/>
      <c r="AN40" s="2"/>
      <c r="AO40" s="2"/>
    </row>
    <row r="41" spans="1:41" x14ac:dyDescent="0.25">
      <c r="A41" s="6"/>
      <c r="B41" s="2" t="s">
        <v>171</v>
      </c>
      <c r="C41" s="6">
        <v>0</v>
      </c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6">
        <f t="shared" si="1"/>
        <v>0</v>
      </c>
      <c r="AJ41" s="10"/>
      <c r="AK41" s="2"/>
      <c r="AL41" s="2"/>
      <c r="AM41" s="2"/>
      <c r="AN41" s="2"/>
      <c r="AO41" s="2"/>
    </row>
    <row r="42" spans="1:41" x14ac:dyDescent="0.25">
      <c r="A42" s="6">
        <v>7</v>
      </c>
      <c r="B42" s="2" t="s">
        <v>57</v>
      </c>
      <c r="C42" s="6">
        <v>0</v>
      </c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6">
        <f t="shared" si="1"/>
        <v>0</v>
      </c>
      <c r="AJ42" s="10"/>
      <c r="AK42" s="2"/>
      <c r="AL42" s="2"/>
      <c r="AM42" s="2"/>
      <c r="AN42" s="2"/>
      <c r="AO42" s="2"/>
    </row>
    <row r="43" spans="1:41" x14ac:dyDescent="0.25">
      <c r="A43" s="6">
        <v>8</v>
      </c>
      <c r="B43" s="2" t="s">
        <v>58</v>
      </c>
      <c r="C43" s="11">
        <v>0</v>
      </c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6">
        <f>C44-D43-E43-F43-G43-H43-I43-J43-K43-L43-M43-N43-O43-P43-Q43-R43-S43-T43-U43-V43-W43-X43-Y43-Z43-AA43-AB43-AC43-AD43-AE43-AF43-AG43-AH43</f>
        <v>1</v>
      </c>
      <c r="AJ43" s="10"/>
      <c r="AK43" s="2"/>
      <c r="AL43" s="2"/>
      <c r="AM43" s="2"/>
      <c r="AN43" s="2"/>
      <c r="AO43" s="2"/>
    </row>
    <row r="44" spans="1:41" x14ac:dyDescent="0.25">
      <c r="A44" s="6">
        <v>9</v>
      </c>
      <c r="B44" s="2" t="s">
        <v>59</v>
      </c>
      <c r="C44" s="6">
        <v>1</v>
      </c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6" t="e">
        <f>#REF!-D44-E44-F44-G44-H44-I44-J44-K44-L44-M44-N44-O44-P44-Q44-R44-S44-T44-U44-V44-W44-X44-Y44-Z44-AA44-AB44-AC44-AD44-AE44-AF44-AG44-AH44</f>
        <v>#REF!</v>
      </c>
      <c r="AJ44" s="10"/>
      <c r="AK44" s="2"/>
      <c r="AL44" s="2"/>
      <c r="AM44" s="2"/>
      <c r="AN44" s="2"/>
      <c r="AO44" s="2"/>
    </row>
    <row r="45" spans="1:41" x14ac:dyDescent="0.25">
      <c r="A45" s="6">
        <v>10</v>
      </c>
      <c r="B45" s="2" t="s">
        <v>30</v>
      </c>
      <c r="C45" s="6">
        <v>0</v>
      </c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6">
        <f t="shared" si="1"/>
        <v>0</v>
      </c>
      <c r="AJ45" s="10"/>
      <c r="AK45" s="2"/>
      <c r="AL45" s="2"/>
      <c r="AM45" s="2"/>
      <c r="AN45" s="2"/>
      <c r="AO45" s="2"/>
    </row>
    <row r="46" spans="1:41" x14ac:dyDescent="0.25">
      <c r="A46" s="6">
        <v>11</v>
      </c>
      <c r="B46" s="2" t="s">
        <v>31</v>
      </c>
      <c r="C46" s="6">
        <v>0</v>
      </c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6">
        <f t="shared" si="1"/>
        <v>0</v>
      </c>
      <c r="AJ46" s="10"/>
      <c r="AK46" s="2"/>
      <c r="AL46" s="2"/>
      <c r="AM46" s="2"/>
      <c r="AN46" s="2"/>
      <c r="AO46" s="2"/>
    </row>
    <row r="47" spans="1:41" x14ac:dyDescent="0.25">
      <c r="A47" s="6">
        <v>12</v>
      </c>
      <c r="B47" s="2" t="s">
        <v>32</v>
      </c>
      <c r="C47" s="6">
        <v>0</v>
      </c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6">
        <f t="shared" si="1"/>
        <v>0</v>
      </c>
      <c r="AJ47" s="10"/>
      <c r="AK47" s="2"/>
      <c r="AL47" s="2"/>
      <c r="AM47" s="2"/>
      <c r="AN47" s="2"/>
      <c r="AO47" s="2"/>
    </row>
    <row r="48" spans="1:41" x14ac:dyDescent="0.25">
      <c r="A48" s="10"/>
    </row>
    <row r="49" spans="1:41" x14ac:dyDescent="0.25">
      <c r="A49" s="10"/>
    </row>
    <row r="50" spans="1:41" x14ac:dyDescent="0.25">
      <c r="A50" s="10"/>
    </row>
    <row r="51" spans="1:41" x14ac:dyDescent="0.25">
      <c r="A51" s="10"/>
    </row>
    <row r="52" spans="1:41" x14ac:dyDescent="0.25">
      <c r="A52" s="39" t="s">
        <v>73</v>
      </c>
      <c r="B52" s="39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  <c r="AC52" s="16"/>
      <c r="AD52" s="16"/>
      <c r="AE52" s="16"/>
      <c r="AF52" s="16"/>
      <c r="AG52" s="16"/>
      <c r="AH52" s="16"/>
      <c r="AI52" s="17"/>
      <c r="AJ52" s="17"/>
    </row>
    <row r="53" spans="1:41" x14ac:dyDescent="0.25">
      <c r="A53" s="18" t="s">
        <v>0</v>
      </c>
      <c r="B53" s="19" t="s">
        <v>1</v>
      </c>
      <c r="C53" s="20" t="s">
        <v>2</v>
      </c>
      <c r="D53" s="21">
        <v>1</v>
      </c>
      <c r="E53" s="21">
        <v>2</v>
      </c>
      <c r="F53" s="21">
        <v>3</v>
      </c>
      <c r="G53" s="21">
        <v>4</v>
      </c>
      <c r="H53" s="21">
        <v>5</v>
      </c>
      <c r="I53" s="21">
        <v>6</v>
      </c>
      <c r="J53" s="21">
        <v>7</v>
      </c>
      <c r="K53" s="21">
        <v>8</v>
      </c>
      <c r="L53" s="21">
        <v>9</v>
      </c>
      <c r="M53" s="21">
        <v>10</v>
      </c>
      <c r="N53" s="21">
        <v>11</v>
      </c>
      <c r="O53" s="21">
        <v>12</v>
      </c>
      <c r="P53" s="21">
        <v>13</v>
      </c>
      <c r="Q53" s="21">
        <v>14</v>
      </c>
      <c r="R53" s="21">
        <v>15</v>
      </c>
      <c r="S53" s="21">
        <v>16</v>
      </c>
      <c r="T53" s="21">
        <v>17</v>
      </c>
      <c r="U53" s="21">
        <v>18</v>
      </c>
      <c r="V53" s="21">
        <v>19</v>
      </c>
      <c r="W53" s="21">
        <v>20</v>
      </c>
      <c r="X53" s="21">
        <v>21</v>
      </c>
      <c r="Y53" s="21">
        <v>22</v>
      </c>
      <c r="Z53" s="21">
        <v>23</v>
      </c>
      <c r="AA53" s="21">
        <v>24</v>
      </c>
      <c r="AB53" s="21">
        <v>25</v>
      </c>
      <c r="AC53" s="21">
        <v>26</v>
      </c>
      <c r="AD53" s="21">
        <v>27</v>
      </c>
      <c r="AE53" s="21">
        <v>28</v>
      </c>
      <c r="AF53" s="21">
        <v>29</v>
      </c>
      <c r="AG53" s="21">
        <v>30</v>
      </c>
      <c r="AH53" s="21">
        <v>31</v>
      </c>
      <c r="AI53" s="22" t="s">
        <v>3</v>
      </c>
      <c r="AJ53" s="15"/>
      <c r="AK53" s="35" t="s">
        <v>49</v>
      </c>
      <c r="AL53" s="36"/>
      <c r="AM53" s="36"/>
      <c r="AN53" s="36"/>
      <c r="AO53" s="37"/>
    </row>
    <row r="54" spans="1:41" x14ac:dyDescent="0.25">
      <c r="A54" s="23">
        <v>1</v>
      </c>
      <c r="B54" s="1" t="s">
        <v>33</v>
      </c>
      <c r="C54" s="24">
        <v>6</v>
      </c>
      <c r="D54" s="25">
        <v>1</v>
      </c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5">
        <f>C54-D54-E54-F54-G54-H54-I54-J54-K54-L54-M54-N54-O54-P54-Q54-R54-S54-T54-U54-V54-W54-X54-Y54-Z54-AA54-AB54-AC54-AD54-AE54-AF54-AG54-AH54</f>
        <v>5</v>
      </c>
      <c r="AJ54" s="15"/>
      <c r="AK54" s="2"/>
      <c r="AL54" s="2"/>
      <c r="AM54" s="2"/>
      <c r="AN54" s="2"/>
      <c r="AO54" s="2"/>
    </row>
    <row r="55" spans="1:41" x14ac:dyDescent="0.25">
      <c r="A55" s="23">
        <v>2</v>
      </c>
      <c r="B55" s="1" t="s">
        <v>34</v>
      </c>
      <c r="C55" s="24">
        <v>10</v>
      </c>
      <c r="D55" s="25">
        <v>2</v>
      </c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5">
        <f t="shared" ref="AI55:AI98" si="2">C55-D55-E55-F55-G55-H55-I55-J55-K55-L55-M55-N55-O55-P55-Q55-R55-S55-T55-U55-V55-W55-X55-Y55-Z55-AA55-AB55-AC55-AD55-AE55-AF55-AG55-AH55</f>
        <v>8</v>
      </c>
      <c r="AJ55" s="15"/>
      <c r="AK55" s="2"/>
      <c r="AL55" s="2"/>
      <c r="AM55" s="2"/>
      <c r="AN55" s="2"/>
      <c r="AO55" s="2"/>
    </row>
    <row r="56" spans="1:41" x14ac:dyDescent="0.25">
      <c r="A56" s="23">
        <v>3</v>
      </c>
      <c r="B56" s="1" t="s">
        <v>35</v>
      </c>
      <c r="C56" s="24">
        <v>3</v>
      </c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5">
        <f t="shared" si="2"/>
        <v>3</v>
      </c>
      <c r="AJ56" s="15"/>
      <c r="AK56" s="2"/>
      <c r="AL56" s="2"/>
      <c r="AM56" s="2"/>
      <c r="AN56" s="2"/>
      <c r="AO56" s="2"/>
    </row>
    <row r="57" spans="1:41" x14ac:dyDescent="0.25">
      <c r="A57" s="23">
        <v>4</v>
      </c>
      <c r="B57" s="1" t="s">
        <v>36</v>
      </c>
      <c r="C57" s="24">
        <v>6</v>
      </c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5">
        <f t="shared" si="2"/>
        <v>6</v>
      </c>
      <c r="AJ57" s="15"/>
      <c r="AK57" s="2"/>
      <c r="AL57" s="2"/>
      <c r="AM57" s="2"/>
      <c r="AN57" s="2"/>
      <c r="AO57" s="2"/>
    </row>
    <row r="58" spans="1:41" x14ac:dyDescent="0.25">
      <c r="A58" s="23">
        <v>5</v>
      </c>
      <c r="B58" s="1" t="s">
        <v>37</v>
      </c>
      <c r="C58" s="24">
        <v>9</v>
      </c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5">
        <f t="shared" si="2"/>
        <v>9</v>
      </c>
      <c r="AJ58" s="15"/>
      <c r="AK58" s="2"/>
      <c r="AL58" s="2"/>
      <c r="AM58" s="2"/>
      <c r="AN58" s="2"/>
      <c r="AO58" s="2"/>
    </row>
    <row r="59" spans="1:41" x14ac:dyDescent="0.25">
      <c r="A59" s="23">
        <v>6</v>
      </c>
      <c r="B59" s="1" t="s">
        <v>38</v>
      </c>
      <c r="C59" s="24">
        <v>5</v>
      </c>
      <c r="D59" s="25">
        <v>2</v>
      </c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5">
        <f>C59-D59-E59-F59-G59-H59-I59-J59-K59-L59-M59-N59-O59-P59-Q59-R59-S59-T59-U59-V59-W59-X59-Y59-Z59-AA59-AB59-AC59-AD59-AE59-AF59-AG59-AH59</f>
        <v>3</v>
      </c>
      <c r="AJ59" s="15"/>
      <c r="AK59" s="2"/>
      <c r="AL59" s="2"/>
      <c r="AM59" s="2"/>
      <c r="AN59" s="2"/>
      <c r="AO59" s="2"/>
    </row>
    <row r="60" spans="1:41" x14ac:dyDescent="0.25">
      <c r="A60" s="23">
        <v>7</v>
      </c>
      <c r="B60" s="1" t="s">
        <v>76</v>
      </c>
      <c r="C60" s="24">
        <v>6</v>
      </c>
      <c r="D60" s="25">
        <v>2</v>
      </c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5">
        <f t="shared" si="2"/>
        <v>4</v>
      </c>
      <c r="AJ60" s="15"/>
      <c r="AK60" s="2"/>
      <c r="AL60" s="2"/>
      <c r="AM60" s="2"/>
      <c r="AN60" s="2"/>
      <c r="AO60" s="2"/>
    </row>
    <row r="61" spans="1:41" x14ac:dyDescent="0.25">
      <c r="A61" s="23">
        <v>8</v>
      </c>
      <c r="B61" s="1" t="s">
        <v>75</v>
      </c>
      <c r="C61" s="24">
        <v>9</v>
      </c>
      <c r="D61" s="25">
        <v>16</v>
      </c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5">
        <f t="shared" si="2"/>
        <v>-7</v>
      </c>
      <c r="AJ61" s="15"/>
      <c r="AK61" s="2"/>
      <c r="AL61" s="2"/>
      <c r="AM61" s="2"/>
      <c r="AN61" s="2"/>
      <c r="AO61" s="2"/>
    </row>
    <row r="62" spans="1:41" x14ac:dyDescent="0.25">
      <c r="A62" s="23">
        <v>9</v>
      </c>
      <c r="B62" s="1" t="s">
        <v>39</v>
      </c>
      <c r="C62" s="24">
        <v>9</v>
      </c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5">
        <f t="shared" si="2"/>
        <v>9</v>
      </c>
      <c r="AJ62" s="15"/>
      <c r="AK62" s="2"/>
      <c r="AL62" s="2"/>
      <c r="AM62" s="2"/>
      <c r="AN62" s="2"/>
      <c r="AO62" s="2"/>
    </row>
    <row r="63" spans="1:41" x14ac:dyDescent="0.25">
      <c r="A63" s="23">
        <v>10</v>
      </c>
      <c r="B63" s="1" t="s">
        <v>40</v>
      </c>
      <c r="C63" s="24">
        <v>900</v>
      </c>
      <c r="D63" s="25" t="s">
        <v>181</v>
      </c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5" t="e">
        <f t="shared" si="2"/>
        <v>#VALUE!</v>
      </c>
      <c r="AJ63" s="15"/>
      <c r="AK63" s="2"/>
      <c r="AL63" s="2"/>
      <c r="AM63" s="2"/>
      <c r="AN63" s="2"/>
      <c r="AO63" s="2"/>
    </row>
    <row r="64" spans="1:41" x14ac:dyDescent="0.25">
      <c r="A64" s="23">
        <v>11</v>
      </c>
      <c r="B64" s="1" t="s">
        <v>41</v>
      </c>
      <c r="C64" s="24">
        <v>1800</v>
      </c>
      <c r="D64" s="25"/>
      <c r="E64" s="25" t="s">
        <v>180</v>
      </c>
      <c r="F64" s="25"/>
      <c r="G64" s="7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5" t="e">
        <f>C64-D64-E64--F64-H64-I64-J64-K64-L64-M64-N64-O64-P64-Q64-R64-S64-T64-U64-V64-W64-X64-Y64-Z64-AA64-AB64-AC64-AD64-AE64-AF64-AG64-AH64</f>
        <v>#VALUE!</v>
      </c>
      <c r="AJ64" s="15"/>
      <c r="AK64" s="2"/>
      <c r="AL64" s="2"/>
      <c r="AM64" s="2"/>
      <c r="AN64" s="2"/>
      <c r="AO64" s="2"/>
    </row>
    <row r="65" spans="1:41" x14ac:dyDescent="0.25">
      <c r="A65" s="23">
        <v>12</v>
      </c>
      <c r="B65" s="1" t="s">
        <v>172</v>
      </c>
      <c r="C65" s="24">
        <v>200</v>
      </c>
      <c r="D65" s="25"/>
      <c r="E65" s="25"/>
      <c r="F65" s="25"/>
      <c r="G65" s="7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5">
        <f t="shared" ref="AI65:AI74" si="3">C65-D65-E65--F65-H65-I65-J65-K65-L65-M65-N65-O65-P65-Q65-R65-S65-T65-U65-V65-W65-X65-Y65-Z65-AA65-AB65-AC65-AD65-AE65-AF65-AG65-AH65</f>
        <v>200</v>
      </c>
      <c r="AJ65" s="15"/>
      <c r="AK65" s="2"/>
      <c r="AL65" s="2"/>
      <c r="AM65" s="2"/>
      <c r="AN65" s="2"/>
      <c r="AO65" s="2"/>
    </row>
    <row r="66" spans="1:41" x14ac:dyDescent="0.25">
      <c r="A66" s="23">
        <v>13</v>
      </c>
      <c r="B66" s="1" t="s">
        <v>42</v>
      </c>
      <c r="C66" s="24">
        <v>600</v>
      </c>
      <c r="D66" s="25"/>
      <c r="E66" s="25"/>
      <c r="F66" s="25"/>
      <c r="G66" s="26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5">
        <f t="shared" si="3"/>
        <v>600</v>
      </c>
      <c r="AJ66" s="15"/>
      <c r="AK66" s="2"/>
      <c r="AL66" s="2"/>
      <c r="AM66" s="2"/>
      <c r="AN66" s="2"/>
      <c r="AO66" s="2"/>
    </row>
    <row r="67" spans="1:41" x14ac:dyDescent="0.25">
      <c r="A67" s="23">
        <v>14</v>
      </c>
      <c r="B67" s="1" t="s">
        <v>43</v>
      </c>
      <c r="C67" s="24">
        <v>900</v>
      </c>
      <c r="D67" s="25" t="s">
        <v>178</v>
      </c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5" t="e">
        <f t="shared" si="3"/>
        <v>#VALUE!</v>
      </c>
      <c r="AJ67" s="15"/>
      <c r="AK67" s="2"/>
      <c r="AL67" s="2"/>
      <c r="AM67" s="2"/>
      <c r="AN67" s="2"/>
      <c r="AO67" s="2"/>
    </row>
    <row r="68" spans="1:41" x14ac:dyDescent="0.25">
      <c r="A68" s="23">
        <v>15</v>
      </c>
      <c r="B68" s="1" t="s">
        <v>170</v>
      </c>
      <c r="C68" s="24">
        <v>300</v>
      </c>
      <c r="D68" s="25">
        <v>4</v>
      </c>
      <c r="E68" s="25">
        <v>4</v>
      </c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5">
        <f t="shared" si="3"/>
        <v>292</v>
      </c>
      <c r="AJ68" s="15"/>
      <c r="AK68" s="2"/>
      <c r="AL68" s="2"/>
      <c r="AM68" s="2"/>
      <c r="AN68" s="2"/>
      <c r="AO68" s="2"/>
    </row>
    <row r="69" spans="1:41" x14ac:dyDescent="0.25">
      <c r="A69" s="23">
        <v>16</v>
      </c>
      <c r="B69" s="1" t="s">
        <v>160</v>
      </c>
      <c r="C69" s="24">
        <v>200</v>
      </c>
      <c r="D69" s="25" t="s">
        <v>179</v>
      </c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5" t="e">
        <f t="shared" si="3"/>
        <v>#VALUE!</v>
      </c>
      <c r="AJ69" s="15"/>
      <c r="AK69" s="2"/>
      <c r="AL69" s="2"/>
      <c r="AM69" s="2"/>
      <c r="AN69" s="2"/>
      <c r="AO69" s="2"/>
    </row>
    <row r="70" spans="1:41" x14ac:dyDescent="0.25">
      <c r="A70" s="23">
        <v>17</v>
      </c>
      <c r="B70" s="1" t="s">
        <v>161</v>
      </c>
      <c r="C70" s="24">
        <v>0</v>
      </c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5">
        <f t="shared" si="3"/>
        <v>0</v>
      </c>
      <c r="AJ70" s="15"/>
      <c r="AK70" s="2"/>
      <c r="AL70" s="2"/>
      <c r="AM70" s="2"/>
      <c r="AN70" s="2"/>
      <c r="AO70" s="2"/>
    </row>
    <row r="71" spans="1:41" x14ac:dyDescent="0.25">
      <c r="A71" s="23">
        <v>18</v>
      </c>
      <c r="B71" s="1" t="s">
        <v>162</v>
      </c>
      <c r="C71" s="24">
        <v>0</v>
      </c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5">
        <f t="shared" si="3"/>
        <v>0</v>
      </c>
      <c r="AJ71" s="15"/>
      <c r="AK71" s="2"/>
      <c r="AL71" s="2"/>
      <c r="AM71" s="2"/>
      <c r="AN71" s="2"/>
      <c r="AO71" s="2"/>
    </row>
    <row r="72" spans="1:41" x14ac:dyDescent="0.25">
      <c r="A72" s="23">
        <v>19</v>
      </c>
      <c r="B72" s="1" t="s">
        <v>163</v>
      </c>
      <c r="C72" s="24">
        <v>0</v>
      </c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5">
        <f t="shared" si="3"/>
        <v>0</v>
      </c>
      <c r="AJ72" s="15"/>
      <c r="AK72" s="2"/>
      <c r="AL72" s="2"/>
      <c r="AM72" s="2"/>
      <c r="AN72" s="2"/>
      <c r="AO72" s="2"/>
    </row>
    <row r="73" spans="1:41" x14ac:dyDescent="0.25">
      <c r="A73" s="23">
        <v>20</v>
      </c>
      <c r="B73" s="1" t="s">
        <v>164</v>
      </c>
      <c r="C73" s="24">
        <v>0</v>
      </c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5">
        <f t="shared" si="3"/>
        <v>0</v>
      </c>
      <c r="AJ73" s="15"/>
      <c r="AK73" s="2"/>
      <c r="AL73" s="2"/>
      <c r="AM73" s="2"/>
      <c r="AN73" s="2"/>
      <c r="AO73" s="2"/>
    </row>
    <row r="74" spans="1:41" x14ac:dyDescent="0.25">
      <c r="A74" s="23">
        <v>21</v>
      </c>
      <c r="B74" s="1" t="s">
        <v>165</v>
      </c>
      <c r="C74" s="24">
        <v>0</v>
      </c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5">
        <f t="shared" si="3"/>
        <v>0</v>
      </c>
      <c r="AJ74" s="15"/>
      <c r="AK74" s="2"/>
      <c r="AL74" s="2"/>
      <c r="AM74" s="2"/>
      <c r="AN74" s="2"/>
      <c r="AO74" s="2"/>
    </row>
    <row r="75" spans="1:41" x14ac:dyDescent="0.25">
      <c r="A75" s="23">
        <v>22</v>
      </c>
      <c r="B75" s="1" t="s">
        <v>44</v>
      </c>
      <c r="C75" s="24">
        <v>5</v>
      </c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5">
        <f t="shared" si="2"/>
        <v>5</v>
      </c>
      <c r="AJ75" s="15"/>
      <c r="AK75" s="2"/>
      <c r="AL75" s="2"/>
      <c r="AM75" s="2"/>
      <c r="AN75" s="2"/>
      <c r="AO75" s="2"/>
    </row>
    <row r="76" spans="1:41" x14ac:dyDescent="0.25">
      <c r="A76" s="23"/>
      <c r="B76" s="1" t="s">
        <v>177</v>
      </c>
      <c r="C76" s="24">
        <v>4</v>
      </c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5"/>
      <c r="AJ76" s="15"/>
      <c r="AK76" s="2"/>
      <c r="AL76" s="2"/>
      <c r="AM76" s="2"/>
      <c r="AN76" s="2"/>
      <c r="AO76" s="2"/>
    </row>
    <row r="77" spans="1:41" x14ac:dyDescent="0.25">
      <c r="A77" s="23">
        <v>23</v>
      </c>
      <c r="B77" s="1" t="s">
        <v>45</v>
      </c>
      <c r="C77" s="24">
        <v>5</v>
      </c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5">
        <f t="shared" si="2"/>
        <v>5</v>
      </c>
      <c r="AJ77" s="15"/>
      <c r="AK77" s="2"/>
      <c r="AL77" s="2"/>
      <c r="AM77" s="2"/>
      <c r="AN77" s="2"/>
      <c r="AO77" s="2"/>
    </row>
    <row r="78" spans="1:41" x14ac:dyDescent="0.25">
      <c r="A78" s="23">
        <v>24</v>
      </c>
      <c r="B78" s="1" t="s">
        <v>46</v>
      </c>
      <c r="C78" s="24">
        <v>2</v>
      </c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5">
        <f t="shared" si="2"/>
        <v>2</v>
      </c>
      <c r="AJ78" s="15"/>
      <c r="AK78" s="2"/>
      <c r="AL78" s="2"/>
      <c r="AM78" s="2"/>
      <c r="AN78" s="2"/>
      <c r="AO78" s="2"/>
    </row>
    <row r="79" spans="1:41" x14ac:dyDescent="0.25">
      <c r="A79" s="23">
        <v>25</v>
      </c>
      <c r="B79" s="1" t="s">
        <v>47</v>
      </c>
      <c r="C79" s="24">
        <v>1</v>
      </c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5">
        <f t="shared" si="2"/>
        <v>1</v>
      </c>
      <c r="AJ79" s="15"/>
      <c r="AK79" s="2"/>
      <c r="AL79" s="2"/>
      <c r="AM79" s="2"/>
      <c r="AN79" s="2"/>
      <c r="AO79" s="2"/>
    </row>
    <row r="80" spans="1:41" x14ac:dyDescent="0.25">
      <c r="A80" s="23">
        <v>26</v>
      </c>
      <c r="B80" s="1" t="s">
        <v>48</v>
      </c>
      <c r="C80" s="24">
        <v>2</v>
      </c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5">
        <f t="shared" si="2"/>
        <v>2</v>
      </c>
      <c r="AJ80" s="15"/>
      <c r="AK80" s="2"/>
      <c r="AL80" s="2"/>
      <c r="AM80" s="2"/>
      <c r="AN80" s="2"/>
      <c r="AO80" s="2"/>
    </row>
    <row r="81" spans="1:41" x14ac:dyDescent="0.25">
      <c r="A81" s="23">
        <v>27</v>
      </c>
      <c r="B81" s="2" t="s">
        <v>144</v>
      </c>
      <c r="C81" s="5">
        <v>3</v>
      </c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5">
        <f t="shared" si="2"/>
        <v>3</v>
      </c>
      <c r="AJ81" s="15"/>
      <c r="AK81" s="2"/>
      <c r="AL81" s="2"/>
      <c r="AM81" s="2"/>
      <c r="AN81" s="2"/>
      <c r="AO81" s="2"/>
    </row>
    <row r="82" spans="1:41" x14ac:dyDescent="0.25">
      <c r="A82" s="23">
        <v>28</v>
      </c>
      <c r="B82" s="2" t="s">
        <v>145</v>
      </c>
      <c r="C82" s="5">
        <v>1</v>
      </c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5">
        <f t="shared" si="2"/>
        <v>1</v>
      </c>
      <c r="AJ82" s="15"/>
      <c r="AK82" s="2"/>
      <c r="AL82" s="2"/>
      <c r="AM82" s="2"/>
      <c r="AN82" s="2"/>
      <c r="AO82" s="2"/>
    </row>
    <row r="83" spans="1:41" x14ac:dyDescent="0.25">
      <c r="A83" s="23">
        <v>29</v>
      </c>
      <c r="B83" s="2" t="s">
        <v>146</v>
      </c>
      <c r="C83" s="5">
        <v>0</v>
      </c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5">
        <f t="shared" si="2"/>
        <v>0</v>
      </c>
      <c r="AJ83" s="15"/>
      <c r="AK83" s="2"/>
      <c r="AL83" s="2"/>
      <c r="AM83" s="2"/>
      <c r="AN83" s="2"/>
      <c r="AO83" s="2"/>
    </row>
    <row r="84" spans="1:41" x14ac:dyDescent="0.25">
      <c r="A84" s="23">
        <v>30</v>
      </c>
      <c r="B84" s="2" t="s">
        <v>147</v>
      </c>
      <c r="C84" s="5">
        <v>0</v>
      </c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5">
        <f t="shared" si="2"/>
        <v>0</v>
      </c>
      <c r="AJ84" s="15"/>
      <c r="AK84" s="2"/>
      <c r="AL84" s="2"/>
      <c r="AM84" s="2"/>
      <c r="AN84" s="2"/>
      <c r="AO84" s="2"/>
    </row>
    <row r="85" spans="1:41" x14ac:dyDescent="0.25">
      <c r="A85" s="23">
        <v>31</v>
      </c>
      <c r="B85" s="2" t="s">
        <v>148</v>
      </c>
      <c r="C85" s="5">
        <v>2</v>
      </c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5">
        <f t="shared" si="2"/>
        <v>2</v>
      </c>
      <c r="AJ85" s="15"/>
      <c r="AK85" s="2"/>
      <c r="AL85" s="2"/>
      <c r="AM85" s="2"/>
      <c r="AN85" s="2"/>
      <c r="AO85" s="2"/>
    </row>
    <row r="86" spans="1:41" x14ac:dyDescent="0.25">
      <c r="A86" s="23">
        <v>32</v>
      </c>
      <c r="B86" s="2" t="s">
        <v>149</v>
      </c>
      <c r="C86" s="5">
        <v>6</v>
      </c>
      <c r="D86" s="26"/>
      <c r="E86" s="26"/>
      <c r="F86" s="26"/>
      <c r="G86" s="26">
        <v>1</v>
      </c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5">
        <f t="shared" si="2"/>
        <v>5</v>
      </c>
      <c r="AJ86" s="15"/>
      <c r="AK86" s="2"/>
      <c r="AL86" s="2"/>
      <c r="AM86" s="2"/>
      <c r="AN86" s="2"/>
      <c r="AO86" s="2"/>
    </row>
    <row r="87" spans="1:41" x14ac:dyDescent="0.25">
      <c r="A87" s="23">
        <v>33</v>
      </c>
      <c r="B87" s="2" t="s">
        <v>150</v>
      </c>
      <c r="C87" s="5">
        <v>1</v>
      </c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5">
        <f t="shared" si="2"/>
        <v>1</v>
      </c>
      <c r="AJ87" s="15"/>
      <c r="AK87" s="2"/>
      <c r="AL87" s="2"/>
      <c r="AM87" s="2"/>
      <c r="AN87" s="2"/>
      <c r="AO87" s="2"/>
    </row>
    <row r="88" spans="1:41" x14ac:dyDescent="0.25">
      <c r="A88" s="23">
        <v>34</v>
      </c>
      <c r="B88" s="2" t="s">
        <v>151</v>
      </c>
      <c r="C88" s="5">
        <v>2</v>
      </c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5">
        <f t="shared" si="2"/>
        <v>2</v>
      </c>
      <c r="AJ88" s="15"/>
      <c r="AK88" s="2"/>
      <c r="AL88" s="2"/>
      <c r="AM88" s="2"/>
      <c r="AN88" s="2"/>
      <c r="AO88" s="2"/>
    </row>
    <row r="89" spans="1:41" x14ac:dyDescent="0.25">
      <c r="A89" s="23">
        <v>35</v>
      </c>
      <c r="B89" s="2" t="s">
        <v>152</v>
      </c>
      <c r="C89" s="5">
        <v>1</v>
      </c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5">
        <f t="shared" si="2"/>
        <v>1</v>
      </c>
      <c r="AJ89" s="15"/>
      <c r="AK89" s="2"/>
      <c r="AL89" s="2"/>
      <c r="AM89" s="2"/>
      <c r="AN89" s="2"/>
      <c r="AO89" s="2"/>
    </row>
    <row r="90" spans="1:41" x14ac:dyDescent="0.25">
      <c r="A90" s="23">
        <v>36</v>
      </c>
      <c r="B90" s="2" t="s">
        <v>153</v>
      </c>
      <c r="C90" s="6">
        <v>1</v>
      </c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5">
        <f t="shared" si="2"/>
        <v>1</v>
      </c>
      <c r="AK90" s="2"/>
      <c r="AL90" s="2"/>
      <c r="AM90" s="2"/>
      <c r="AN90" s="2"/>
      <c r="AO90" s="2"/>
    </row>
    <row r="91" spans="1:41" x14ac:dyDescent="0.25">
      <c r="A91" s="23">
        <v>37</v>
      </c>
      <c r="B91" s="2" t="s">
        <v>156</v>
      </c>
      <c r="C91" s="6">
        <v>2</v>
      </c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5">
        <f t="shared" si="2"/>
        <v>2</v>
      </c>
      <c r="AK91" s="2"/>
      <c r="AL91" s="2"/>
      <c r="AM91" s="2"/>
      <c r="AN91" s="2"/>
      <c r="AO91" s="2"/>
    </row>
    <row r="92" spans="1:41" x14ac:dyDescent="0.25">
      <c r="A92" s="23">
        <v>38</v>
      </c>
      <c r="B92" s="2" t="s">
        <v>154</v>
      </c>
      <c r="C92" s="6">
        <v>3</v>
      </c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5">
        <f t="shared" si="2"/>
        <v>3</v>
      </c>
      <c r="AK92" s="2"/>
      <c r="AL92" s="2"/>
      <c r="AM92" s="2"/>
      <c r="AN92" s="2"/>
      <c r="AO92" s="2"/>
    </row>
    <row r="93" spans="1:41" x14ac:dyDescent="0.25">
      <c r="A93" s="23">
        <v>39</v>
      </c>
      <c r="B93" s="2" t="s">
        <v>155</v>
      </c>
      <c r="C93" s="6">
        <v>5</v>
      </c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5">
        <f t="shared" si="2"/>
        <v>5</v>
      </c>
      <c r="AK93" s="2"/>
      <c r="AL93" s="2"/>
      <c r="AM93" s="2"/>
      <c r="AN93" s="2"/>
      <c r="AO93" s="2"/>
    </row>
    <row r="94" spans="1:41" x14ac:dyDescent="0.25">
      <c r="A94" s="23">
        <v>40</v>
      </c>
      <c r="B94" s="2" t="s">
        <v>166</v>
      </c>
      <c r="C94" s="6">
        <v>3</v>
      </c>
      <c r="D94" s="7">
        <v>1</v>
      </c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5">
        <f t="shared" si="2"/>
        <v>2</v>
      </c>
      <c r="AK94" s="9" t="s">
        <v>174</v>
      </c>
    </row>
    <row r="95" spans="1:41" x14ac:dyDescent="0.25">
      <c r="A95" s="23">
        <v>41</v>
      </c>
      <c r="B95" s="2" t="s">
        <v>167</v>
      </c>
      <c r="C95" s="6">
        <v>1</v>
      </c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5">
        <f t="shared" si="2"/>
        <v>1</v>
      </c>
    </row>
    <row r="96" spans="1:41" x14ac:dyDescent="0.25">
      <c r="A96" s="23">
        <v>42</v>
      </c>
      <c r="B96" s="29" t="s">
        <v>168</v>
      </c>
      <c r="C96" s="30">
        <v>1</v>
      </c>
      <c r="D96" s="31"/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  <c r="U96" s="31"/>
      <c r="V96" s="31"/>
      <c r="W96" s="31"/>
      <c r="X96" s="31"/>
      <c r="Y96" s="31"/>
      <c r="Z96" s="31"/>
      <c r="AA96" s="31"/>
      <c r="AB96" s="31"/>
      <c r="AC96" s="31"/>
      <c r="AD96" s="31"/>
      <c r="AE96" s="31"/>
      <c r="AF96" s="31"/>
      <c r="AG96" s="31"/>
      <c r="AH96" s="31"/>
      <c r="AI96" s="5">
        <f t="shared" si="2"/>
        <v>1</v>
      </c>
    </row>
    <row r="97" spans="1:41" s="2" customFormat="1" x14ac:dyDescent="0.25">
      <c r="A97" s="23">
        <v>43</v>
      </c>
      <c r="B97" s="2" t="s">
        <v>169</v>
      </c>
      <c r="C97" s="6">
        <v>3</v>
      </c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5">
        <f>C97-D98-E97-F97-G97-H97-I97-J97-K97-L97-M97-N97-O97-P97-Q97-R97-S97-T97-U97-V97-W97-X97-Y97-Z97-AA97-AB97-AC97-AD97-AE97-AF97-AG97-AH97</f>
        <v>2</v>
      </c>
      <c r="AJ97" s="9"/>
    </row>
    <row r="98" spans="1:41" x14ac:dyDescent="0.25">
      <c r="A98" s="23">
        <v>44</v>
      </c>
      <c r="B98" s="2" t="s">
        <v>173</v>
      </c>
      <c r="C98" s="6">
        <v>26</v>
      </c>
      <c r="D98" s="7">
        <v>1</v>
      </c>
      <c r="E98" s="7"/>
      <c r="F98" s="7"/>
      <c r="G98" s="7"/>
      <c r="H98" s="7"/>
      <c r="I98" s="7"/>
      <c r="J98" s="7"/>
      <c r="K98" s="7"/>
      <c r="L98" s="7">
        <v>1</v>
      </c>
      <c r="M98" s="7"/>
      <c r="N98" s="7"/>
      <c r="O98" s="7">
        <v>4</v>
      </c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5" t="e">
        <f>C98-#REF!-E98-F98-G98-H98-I98-J98-K98-L98-M98-N98-O98-P98-Q98-R98-S98-T98-U98-V98-W98-X98-Y98-Z98-AA98-AB98-AC98-AD98-AE98-AF98-AG98-AH98</f>
        <v>#REF!</v>
      </c>
    </row>
    <row r="99" spans="1:41" x14ac:dyDescent="0.25">
      <c r="A99" s="23">
        <v>45</v>
      </c>
      <c r="B99" s="2" t="s">
        <v>175</v>
      </c>
      <c r="C99" s="6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>
        <v>1</v>
      </c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5"/>
    </row>
    <row r="100" spans="1:41" x14ac:dyDescent="0.25">
      <c r="A100" s="15"/>
      <c r="AI100" s="15"/>
    </row>
    <row r="101" spans="1:41" x14ac:dyDescent="0.25">
      <c r="A101" s="15"/>
      <c r="AI101" s="15"/>
    </row>
    <row r="102" spans="1:41" x14ac:dyDescent="0.25">
      <c r="A102" s="15"/>
      <c r="AI102" s="15"/>
    </row>
    <row r="105" spans="1:41" x14ac:dyDescent="0.25">
      <c r="A105" s="39" t="s">
        <v>60</v>
      </c>
      <c r="B105" s="39"/>
      <c r="C105" s="17"/>
      <c r="D105" s="16"/>
      <c r="E105" s="16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  <c r="AC105" s="16"/>
      <c r="AD105" s="16"/>
      <c r="AE105" s="16"/>
      <c r="AF105" s="16"/>
      <c r="AG105" s="16"/>
      <c r="AH105" s="16"/>
      <c r="AI105" s="17"/>
    </row>
    <row r="106" spans="1:41" x14ac:dyDescent="0.25">
      <c r="A106" s="18" t="s">
        <v>0</v>
      </c>
      <c r="B106" s="19" t="s">
        <v>1</v>
      </c>
      <c r="C106" s="27" t="s">
        <v>2</v>
      </c>
      <c r="D106" s="21">
        <v>1</v>
      </c>
      <c r="E106" s="21">
        <v>2</v>
      </c>
      <c r="F106" s="21">
        <v>3</v>
      </c>
      <c r="G106" s="21">
        <v>4</v>
      </c>
      <c r="H106" s="21">
        <v>5</v>
      </c>
      <c r="I106" s="21">
        <v>6</v>
      </c>
      <c r="J106" s="21">
        <v>7</v>
      </c>
      <c r="K106" s="21">
        <v>8</v>
      </c>
      <c r="L106" s="21">
        <v>9</v>
      </c>
      <c r="M106" s="21">
        <v>10</v>
      </c>
      <c r="N106" s="21">
        <v>11</v>
      </c>
      <c r="O106" s="21">
        <v>12</v>
      </c>
      <c r="P106" s="21">
        <v>13</v>
      </c>
      <c r="Q106" s="21">
        <v>14</v>
      </c>
      <c r="R106" s="21">
        <v>15</v>
      </c>
      <c r="S106" s="21">
        <v>16</v>
      </c>
      <c r="T106" s="21">
        <v>17</v>
      </c>
      <c r="U106" s="21">
        <v>18</v>
      </c>
      <c r="V106" s="21">
        <v>19</v>
      </c>
      <c r="W106" s="21">
        <v>20</v>
      </c>
      <c r="X106" s="21">
        <v>21</v>
      </c>
      <c r="Y106" s="21">
        <v>22</v>
      </c>
      <c r="Z106" s="21">
        <v>23</v>
      </c>
      <c r="AA106" s="21">
        <v>24</v>
      </c>
      <c r="AB106" s="21">
        <v>25</v>
      </c>
      <c r="AC106" s="21">
        <v>26</v>
      </c>
      <c r="AD106" s="21">
        <v>27</v>
      </c>
      <c r="AE106" s="21">
        <v>28</v>
      </c>
      <c r="AF106" s="21">
        <v>29</v>
      </c>
      <c r="AG106" s="21">
        <v>30</v>
      </c>
      <c r="AH106" s="21">
        <v>31</v>
      </c>
      <c r="AI106" s="20" t="s">
        <v>3</v>
      </c>
      <c r="AK106" s="35" t="s">
        <v>49</v>
      </c>
      <c r="AL106" s="36"/>
      <c r="AM106" s="36"/>
      <c r="AN106" s="36"/>
      <c r="AO106" s="37"/>
    </row>
    <row r="107" spans="1:41" x14ac:dyDescent="0.25">
      <c r="A107" s="5">
        <v>1</v>
      </c>
      <c r="B107" s="4" t="s">
        <v>96</v>
      </c>
      <c r="C107" s="5">
        <v>3</v>
      </c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5">
        <f>C107-E107-F107-G107-H107-I107-J107-K107-M107-N107-O107-P107-Q107-R107-S107-T107-U107-V107-W107-X107-Y107-Z107-AA107-AB107-AC107-AD107-AE107-AF107-AG107-AH107</f>
        <v>3</v>
      </c>
      <c r="AK107" s="2"/>
      <c r="AL107" s="2"/>
      <c r="AM107" s="2"/>
      <c r="AN107" s="2"/>
      <c r="AO107" s="2"/>
    </row>
    <row r="108" spans="1:41" x14ac:dyDescent="0.25">
      <c r="A108" s="5">
        <v>2</v>
      </c>
      <c r="B108" s="2" t="s">
        <v>61</v>
      </c>
      <c r="C108" s="5">
        <v>1</v>
      </c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5">
        <f t="shared" ref="AI108:AI139" si="4">C108-E108-F108-G108-H108-I108-J108-K108-M108-N108-O108-P108-Q108-R108-S108-T108-U108-V108-W108-X108-Y108-Z108-AA108-AB108-AC108-AD108-AE108-AF108-AG108-AH108</f>
        <v>1</v>
      </c>
      <c r="AK108" s="2"/>
      <c r="AL108" s="2"/>
      <c r="AM108" s="2"/>
      <c r="AN108" s="2"/>
      <c r="AO108" s="2"/>
    </row>
    <row r="109" spans="1:41" x14ac:dyDescent="0.25">
      <c r="A109" s="5">
        <v>3</v>
      </c>
      <c r="B109" s="2" t="s">
        <v>62</v>
      </c>
      <c r="C109" s="5">
        <v>2</v>
      </c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5">
        <f t="shared" si="4"/>
        <v>2</v>
      </c>
      <c r="AK109" s="2"/>
      <c r="AL109" s="2"/>
      <c r="AM109" s="2"/>
      <c r="AN109" s="2"/>
      <c r="AO109" s="2"/>
    </row>
    <row r="110" spans="1:41" x14ac:dyDescent="0.25">
      <c r="A110" s="5">
        <v>4</v>
      </c>
      <c r="B110" s="2" t="s">
        <v>63</v>
      </c>
      <c r="C110" s="5">
        <v>1</v>
      </c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5">
        <f t="shared" si="4"/>
        <v>1</v>
      </c>
      <c r="AK110" s="2"/>
      <c r="AL110" s="2"/>
      <c r="AM110" s="2"/>
      <c r="AN110" s="2"/>
      <c r="AO110" s="2"/>
    </row>
    <row r="111" spans="1:41" x14ac:dyDescent="0.25">
      <c r="A111" s="5">
        <v>5</v>
      </c>
      <c r="B111" s="2" t="s">
        <v>64</v>
      </c>
      <c r="C111" s="5">
        <v>1</v>
      </c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5">
        <f t="shared" si="4"/>
        <v>1</v>
      </c>
      <c r="AK111" s="2"/>
      <c r="AL111" s="2"/>
      <c r="AM111" s="2"/>
      <c r="AN111" s="2"/>
      <c r="AO111" s="2"/>
    </row>
    <row r="112" spans="1:41" x14ac:dyDescent="0.25">
      <c r="A112" s="5">
        <v>6</v>
      </c>
      <c r="B112" s="2" t="s">
        <v>67</v>
      </c>
      <c r="C112" s="5">
        <v>1</v>
      </c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5">
        <f t="shared" si="4"/>
        <v>1</v>
      </c>
      <c r="AK112" s="2"/>
      <c r="AL112" s="2"/>
      <c r="AM112" s="2"/>
      <c r="AN112" s="2"/>
      <c r="AO112" s="2"/>
    </row>
    <row r="113" spans="1:41" x14ac:dyDescent="0.25">
      <c r="A113" s="5">
        <v>7</v>
      </c>
      <c r="B113" s="2" t="s">
        <v>65</v>
      </c>
      <c r="C113" s="5">
        <v>2</v>
      </c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5">
        <f t="shared" si="4"/>
        <v>2</v>
      </c>
      <c r="AK113" s="2"/>
      <c r="AL113" s="2"/>
      <c r="AM113" s="2"/>
      <c r="AN113" s="2"/>
      <c r="AO113" s="2"/>
    </row>
    <row r="114" spans="1:41" x14ac:dyDescent="0.25">
      <c r="A114" s="5">
        <v>8</v>
      </c>
      <c r="B114" s="2" t="s">
        <v>66</v>
      </c>
      <c r="C114" s="5">
        <v>1</v>
      </c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5">
        <f t="shared" si="4"/>
        <v>1</v>
      </c>
      <c r="AK114" s="2"/>
      <c r="AL114" s="2"/>
      <c r="AM114" s="2"/>
      <c r="AN114" s="2"/>
      <c r="AO114" s="2"/>
    </row>
    <row r="115" spans="1:41" x14ac:dyDescent="0.25">
      <c r="A115" s="5">
        <v>9</v>
      </c>
      <c r="B115" s="2" t="s">
        <v>68</v>
      </c>
      <c r="C115" s="6">
        <v>1</v>
      </c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5">
        <f t="shared" si="4"/>
        <v>1</v>
      </c>
      <c r="AK115" s="2"/>
      <c r="AL115" s="2"/>
      <c r="AM115" s="2"/>
      <c r="AN115" s="2"/>
      <c r="AO115" s="2"/>
    </row>
    <row r="116" spans="1:41" x14ac:dyDescent="0.25">
      <c r="A116" s="5">
        <v>10</v>
      </c>
      <c r="B116" s="2" t="s">
        <v>69</v>
      </c>
      <c r="C116" s="6">
        <v>1</v>
      </c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5">
        <f t="shared" si="4"/>
        <v>1</v>
      </c>
      <c r="AK116" s="2"/>
      <c r="AL116" s="2"/>
      <c r="AM116" s="2"/>
      <c r="AN116" s="2"/>
      <c r="AO116" s="2"/>
    </row>
    <row r="117" spans="1:41" x14ac:dyDescent="0.25">
      <c r="A117" s="5">
        <v>11</v>
      </c>
      <c r="B117" s="2" t="s">
        <v>70</v>
      </c>
      <c r="C117" s="6">
        <v>1</v>
      </c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5">
        <f t="shared" si="4"/>
        <v>1</v>
      </c>
      <c r="AK117" s="2"/>
      <c r="AL117" s="2"/>
      <c r="AM117" s="2"/>
      <c r="AN117" s="2"/>
      <c r="AO117" s="2"/>
    </row>
    <row r="118" spans="1:41" x14ac:dyDescent="0.25">
      <c r="A118" s="5">
        <v>12</v>
      </c>
      <c r="B118" s="2" t="s">
        <v>71</v>
      </c>
      <c r="C118" s="6">
        <v>2</v>
      </c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5">
        <f t="shared" si="4"/>
        <v>2</v>
      </c>
      <c r="AK118" s="2"/>
      <c r="AL118" s="2"/>
      <c r="AM118" s="2"/>
      <c r="AN118" s="2"/>
      <c r="AO118" s="2"/>
    </row>
    <row r="119" spans="1:41" x14ac:dyDescent="0.25">
      <c r="A119" s="5">
        <v>13</v>
      </c>
      <c r="B119" s="2" t="s">
        <v>72</v>
      </c>
      <c r="C119" s="6">
        <v>3</v>
      </c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5">
        <f t="shared" si="4"/>
        <v>3</v>
      </c>
      <c r="AK119" s="2"/>
      <c r="AL119" s="2"/>
      <c r="AM119" s="2"/>
      <c r="AN119" s="2"/>
      <c r="AO119" s="2"/>
    </row>
    <row r="120" spans="1:41" x14ac:dyDescent="0.25">
      <c r="A120" s="5">
        <v>14</v>
      </c>
      <c r="B120" s="2" t="s">
        <v>74</v>
      </c>
      <c r="C120" s="6">
        <v>9</v>
      </c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5">
        <f t="shared" si="4"/>
        <v>9</v>
      </c>
      <c r="AK120" s="2"/>
      <c r="AL120" s="2"/>
      <c r="AM120" s="2"/>
      <c r="AN120" s="2"/>
      <c r="AO120" s="2"/>
    </row>
    <row r="121" spans="1:41" x14ac:dyDescent="0.25">
      <c r="A121" s="5">
        <v>15</v>
      </c>
      <c r="B121" s="2" t="s">
        <v>77</v>
      </c>
      <c r="C121" s="6">
        <v>1</v>
      </c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5">
        <f t="shared" si="4"/>
        <v>1</v>
      </c>
      <c r="AK121" s="2"/>
      <c r="AL121" s="2"/>
      <c r="AM121" s="2"/>
      <c r="AN121" s="2"/>
      <c r="AO121" s="2"/>
    </row>
    <row r="122" spans="1:41" x14ac:dyDescent="0.25">
      <c r="A122" s="5">
        <v>16</v>
      </c>
      <c r="B122" s="2" t="s">
        <v>78</v>
      </c>
      <c r="C122" s="6">
        <v>9</v>
      </c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5">
        <f t="shared" si="4"/>
        <v>9</v>
      </c>
      <c r="AK122" s="2"/>
      <c r="AL122" s="2"/>
      <c r="AM122" s="2"/>
      <c r="AN122" s="2"/>
      <c r="AO122" s="2"/>
    </row>
    <row r="123" spans="1:41" x14ac:dyDescent="0.25">
      <c r="A123" s="5">
        <v>17</v>
      </c>
      <c r="B123" s="2" t="s">
        <v>79</v>
      </c>
      <c r="C123" s="6">
        <v>7</v>
      </c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5">
        <f t="shared" si="4"/>
        <v>7</v>
      </c>
      <c r="AK123" s="2"/>
      <c r="AL123" s="2"/>
      <c r="AM123" s="2"/>
      <c r="AN123" s="2"/>
      <c r="AO123" s="2"/>
    </row>
    <row r="124" spans="1:41" x14ac:dyDescent="0.25">
      <c r="A124" s="5">
        <v>18</v>
      </c>
      <c r="B124" s="2" t="s">
        <v>80</v>
      </c>
      <c r="C124" s="6">
        <v>9</v>
      </c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5">
        <f t="shared" si="4"/>
        <v>9</v>
      </c>
      <c r="AK124" s="2"/>
      <c r="AL124" s="2"/>
      <c r="AM124" s="2"/>
      <c r="AN124" s="2"/>
      <c r="AO124" s="2"/>
    </row>
    <row r="125" spans="1:41" x14ac:dyDescent="0.25">
      <c r="A125" s="5">
        <v>19</v>
      </c>
      <c r="B125" s="2" t="s">
        <v>81</v>
      </c>
      <c r="C125" s="6">
        <v>3</v>
      </c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5">
        <f t="shared" si="4"/>
        <v>3</v>
      </c>
      <c r="AK125" s="2"/>
      <c r="AL125" s="2"/>
      <c r="AM125" s="2"/>
      <c r="AN125" s="2"/>
      <c r="AO125" s="2"/>
    </row>
    <row r="126" spans="1:41" x14ac:dyDescent="0.25">
      <c r="A126" s="5">
        <v>20</v>
      </c>
      <c r="B126" s="2" t="s">
        <v>82</v>
      </c>
      <c r="C126" s="6">
        <v>0</v>
      </c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5">
        <f t="shared" si="4"/>
        <v>0</v>
      </c>
      <c r="AK126" s="2"/>
      <c r="AL126" s="2"/>
      <c r="AM126" s="2"/>
      <c r="AN126" s="2"/>
      <c r="AO126" s="2"/>
    </row>
    <row r="127" spans="1:41" x14ac:dyDescent="0.25">
      <c r="A127" s="5">
        <v>21</v>
      </c>
      <c r="B127" s="2" t="s">
        <v>83</v>
      </c>
      <c r="C127" s="6">
        <v>1</v>
      </c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5">
        <f t="shared" si="4"/>
        <v>1</v>
      </c>
      <c r="AK127" s="2"/>
      <c r="AL127" s="2"/>
      <c r="AM127" s="2"/>
      <c r="AN127" s="2"/>
      <c r="AO127" s="2"/>
    </row>
    <row r="128" spans="1:41" x14ac:dyDescent="0.25">
      <c r="A128" s="5">
        <v>22</v>
      </c>
      <c r="B128" s="2" t="s">
        <v>84</v>
      </c>
      <c r="C128" s="6">
        <v>2</v>
      </c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5">
        <f t="shared" si="4"/>
        <v>2</v>
      </c>
      <c r="AK128" s="2"/>
      <c r="AL128" s="2"/>
      <c r="AM128" s="2"/>
      <c r="AN128" s="2"/>
      <c r="AO128" s="2"/>
    </row>
    <row r="129" spans="1:41" x14ac:dyDescent="0.25">
      <c r="A129" s="5">
        <v>23</v>
      </c>
      <c r="B129" s="2" t="s">
        <v>85</v>
      </c>
      <c r="C129" s="6">
        <v>1</v>
      </c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5">
        <f t="shared" si="4"/>
        <v>1</v>
      </c>
      <c r="AK129" s="2"/>
      <c r="AL129" s="2"/>
      <c r="AM129" s="2"/>
      <c r="AN129" s="2"/>
      <c r="AO129" s="2"/>
    </row>
    <row r="130" spans="1:41" x14ac:dyDescent="0.25">
      <c r="A130" s="5">
        <v>24</v>
      </c>
      <c r="B130" s="2" t="s">
        <v>86</v>
      </c>
      <c r="C130" s="6">
        <v>4</v>
      </c>
      <c r="D130" s="7"/>
      <c r="E130" s="7"/>
      <c r="F130" s="7"/>
      <c r="G130" s="7">
        <v>1</v>
      </c>
      <c r="H130" s="7"/>
      <c r="I130" s="7"/>
      <c r="J130" s="7">
        <v>1</v>
      </c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5">
        <f t="shared" si="4"/>
        <v>2</v>
      </c>
      <c r="AK130" s="2"/>
      <c r="AL130" s="2"/>
      <c r="AM130" s="2"/>
      <c r="AN130" s="2"/>
      <c r="AO130" s="2"/>
    </row>
    <row r="131" spans="1:41" x14ac:dyDescent="0.25">
      <c r="A131" s="5">
        <v>25</v>
      </c>
      <c r="B131" s="2" t="s">
        <v>87</v>
      </c>
      <c r="C131" s="6">
        <v>5</v>
      </c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5">
        <f t="shared" si="4"/>
        <v>5</v>
      </c>
      <c r="AK131" s="2"/>
      <c r="AL131" s="2"/>
      <c r="AM131" s="2"/>
      <c r="AN131" s="2"/>
      <c r="AO131" s="2"/>
    </row>
    <row r="132" spans="1:41" x14ac:dyDescent="0.25">
      <c r="A132" s="5">
        <v>26</v>
      </c>
      <c r="B132" s="2" t="s">
        <v>88</v>
      </c>
      <c r="C132" s="6">
        <v>2</v>
      </c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5">
        <f t="shared" si="4"/>
        <v>2</v>
      </c>
      <c r="AK132" s="2"/>
      <c r="AL132" s="2"/>
      <c r="AM132" s="2"/>
      <c r="AN132" s="2"/>
      <c r="AO132" s="2"/>
    </row>
    <row r="133" spans="1:41" x14ac:dyDescent="0.25">
      <c r="A133" s="5">
        <v>27</v>
      </c>
      <c r="B133" s="2" t="s">
        <v>89</v>
      </c>
      <c r="C133" s="6">
        <v>1</v>
      </c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5">
        <f t="shared" si="4"/>
        <v>1</v>
      </c>
      <c r="AK133" s="2"/>
      <c r="AL133" s="2"/>
      <c r="AM133" s="2"/>
      <c r="AN133" s="2"/>
      <c r="AO133" s="2"/>
    </row>
    <row r="134" spans="1:41" x14ac:dyDescent="0.25">
      <c r="A134" s="5">
        <v>28</v>
      </c>
      <c r="B134" s="2" t="s">
        <v>90</v>
      </c>
      <c r="C134" s="6">
        <v>1</v>
      </c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5">
        <f t="shared" si="4"/>
        <v>1</v>
      </c>
      <c r="AK134" s="2"/>
      <c r="AL134" s="2"/>
      <c r="AM134" s="2"/>
      <c r="AN134" s="2"/>
      <c r="AO134" s="2"/>
    </row>
    <row r="135" spans="1:41" x14ac:dyDescent="0.25">
      <c r="A135" s="5">
        <v>29</v>
      </c>
      <c r="B135" s="2" t="s">
        <v>91</v>
      </c>
      <c r="C135" s="6">
        <v>1</v>
      </c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5">
        <f t="shared" si="4"/>
        <v>1</v>
      </c>
      <c r="AK135" s="2"/>
      <c r="AL135" s="2"/>
      <c r="AM135" s="2"/>
      <c r="AN135" s="2"/>
      <c r="AO135" s="2"/>
    </row>
    <row r="136" spans="1:41" x14ac:dyDescent="0.25">
      <c r="A136" s="5">
        <v>30</v>
      </c>
      <c r="B136" s="2" t="s">
        <v>92</v>
      </c>
      <c r="C136" s="6">
        <v>2</v>
      </c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5">
        <f t="shared" si="4"/>
        <v>2</v>
      </c>
      <c r="AK136" s="2"/>
      <c r="AL136" s="2"/>
      <c r="AM136" s="2"/>
      <c r="AN136" s="2"/>
      <c r="AO136" s="2"/>
    </row>
    <row r="137" spans="1:41" x14ac:dyDescent="0.25">
      <c r="A137" s="5">
        <v>31</v>
      </c>
      <c r="B137" s="2" t="s">
        <v>93</v>
      </c>
      <c r="C137" s="6">
        <v>3</v>
      </c>
      <c r="D137" s="7"/>
      <c r="E137" s="7"/>
      <c r="F137" s="7"/>
      <c r="G137" s="7">
        <v>1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5">
        <f t="shared" si="4"/>
        <v>2</v>
      </c>
      <c r="AK137" s="2"/>
      <c r="AL137" s="2"/>
      <c r="AM137" s="2"/>
      <c r="AN137" s="2"/>
      <c r="AO137" s="2"/>
    </row>
    <row r="138" spans="1:41" x14ac:dyDescent="0.25">
      <c r="A138" s="28">
        <v>32</v>
      </c>
      <c r="B138" s="29" t="s">
        <v>94</v>
      </c>
      <c r="C138" s="30">
        <v>5</v>
      </c>
      <c r="D138" s="31"/>
      <c r="E138" s="31"/>
      <c r="F138" s="31"/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31"/>
      <c r="T138" s="31"/>
      <c r="U138" s="31"/>
      <c r="V138" s="31"/>
      <c r="W138" s="31"/>
      <c r="X138" s="31"/>
      <c r="Y138" s="31"/>
      <c r="Z138" s="31"/>
      <c r="AA138" s="31"/>
      <c r="AB138" s="31"/>
      <c r="AC138" s="31"/>
      <c r="AD138" s="31"/>
      <c r="AE138" s="31"/>
      <c r="AF138" s="31"/>
      <c r="AG138" s="31"/>
      <c r="AH138" s="31"/>
      <c r="AI138" s="28">
        <f t="shared" si="4"/>
        <v>5</v>
      </c>
      <c r="AK138" s="29"/>
      <c r="AL138" s="29"/>
      <c r="AM138" s="29"/>
      <c r="AN138" s="29"/>
      <c r="AO138" s="29"/>
    </row>
    <row r="139" spans="1:41" x14ac:dyDescent="0.25">
      <c r="A139" s="5">
        <v>33</v>
      </c>
      <c r="B139" s="2" t="s">
        <v>95</v>
      </c>
      <c r="C139" s="6">
        <v>2</v>
      </c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5">
        <f t="shared" si="4"/>
        <v>2</v>
      </c>
      <c r="AJ139" s="2"/>
      <c r="AK139" s="2"/>
      <c r="AL139" s="2"/>
      <c r="AM139" s="2"/>
      <c r="AN139" s="2"/>
      <c r="AO139" s="2"/>
    </row>
    <row r="147" spans="1:41" x14ac:dyDescent="0.25">
      <c r="A147" s="40" t="s">
        <v>97</v>
      </c>
      <c r="B147" s="40"/>
    </row>
    <row r="148" spans="1:41" x14ac:dyDescent="0.25">
      <c r="A148" s="12" t="s">
        <v>0</v>
      </c>
      <c r="B148" s="12" t="s">
        <v>1</v>
      </c>
      <c r="C148" s="13" t="s">
        <v>2</v>
      </c>
      <c r="D148" s="13">
        <v>1</v>
      </c>
      <c r="E148" s="13">
        <v>2</v>
      </c>
      <c r="F148" s="13">
        <v>3</v>
      </c>
      <c r="G148" s="13">
        <v>4</v>
      </c>
      <c r="H148" s="13">
        <v>5</v>
      </c>
      <c r="I148" s="13">
        <v>6</v>
      </c>
      <c r="J148" s="13">
        <v>7</v>
      </c>
      <c r="K148" s="13">
        <v>8</v>
      </c>
      <c r="L148" s="13">
        <v>9</v>
      </c>
      <c r="M148" s="13">
        <v>10</v>
      </c>
      <c r="N148" s="13">
        <v>11</v>
      </c>
      <c r="O148" s="13">
        <v>12</v>
      </c>
      <c r="P148" s="13">
        <v>13</v>
      </c>
      <c r="Q148" s="13">
        <v>14</v>
      </c>
      <c r="R148" s="13">
        <v>15</v>
      </c>
      <c r="S148" s="13">
        <v>16</v>
      </c>
      <c r="T148" s="13">
        <v>17</v>
      </c>
      <c r="U148" s="13">
        <v>18</v>
      </c>
      <c r="V148" s="13">
        <v>19</v>
      </c>
      <c r="W148" s="13">
        <v>20</v>
      </c>
      <c r="X148" s="13">
        <v>21</v>
      </c>
      <c r="Y148" s="13">
        <v>22</v>
      </c>
      <c r="Z148" s="13">
        <v>23</v>
      </c>
      <c r="AA148" s="13">
        <v>24</v>
      </c>
      <c r="AB148" s="13">
        <v>25</v>
      </c>
      <c r="AC148" s="13">
        <v>26</v>
      </c>
      <c r="AD148" s="13">
        <v>27</v>
      </c>
      <c r="AE148" s="13">
        <v>28</v>
      </c>
      <c r="AF148" s="13">
        <v>29</v>
      </c>
      <c r="AG148" s="13">
        <v>30</v>
      </c>
      <c r="AH148" s="13">
        <v>31</v>
      </c>
      <c r="AI148" s="14" t="s">
        <v>3</v>
      </c>
      <c r="AK148" s="35" t="s">
        <v>49</v>
      </c>
      <c r="AL148" s="36"/>
      <c r="AM148" s="36"/>
      <c r="AN148" s="36"/>
      <c r="AO148" s="37"/>
    </row>
    <row r="149" spans="1:41" x14ac:dyDescent="0.25">
      <c r="A149" s="6">
        <v>1</v>
      </c>
      <c r="B149" s="1" t="s">
        <v>98</v>
      </c>
      <c r="C149" s="6">
        <v>3</v>
      </c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6">
        <f>C149-D149-E149-F149-G149-H149-I149-J149-K149-L149-M149-N149-O149-P149-Q149-R149-S149-T149-U149-V149-W149-X149-Y149-Z149-AA149-AB149-AC149-AD149-AE149-AF149-AG149-AH149</f>
        <v>3</v>
      </c>
      <c r="AK149" s="2"/>
      <c r="AL149" s="2"/>
      <c r="AM149" s="2"/>
      <c r="AN149" s="2"/>
      <c r="AO149" s="2"/>
    </row>
    <row r="150" spans="1:41" x14ac:dyDescent="0.25">
      <c r="A150" s="6">
        <v>2</v>
      </c>
      <c r="B150" s="1" t="s">
        <v>99</v>
      </c>
      <c r="C150" s="6">
        <v>1</v>
      </c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6">
        <f t="shared" ref="AI150:AI194" si="5">C150-D150-E150-F150-G150-H150-I150-J150-K150-L150-M150-N150-O150-P150-Q150-R150-S150-T150-U150-V150-W150-X150-Y150-Z150-AA150-AB150-AC150-AD150-AE150-AF150-AG150-AH150</f>
        <v>1</v>
      </c>
      <c r="AK150" s="2"/>
      <c r="AL150" s="2"/>
      <c r="AM150" s="2"/>
      <c r="AN150" s="2"/>
      <c r="AO150" s="2"/>
    </row>
    <row r="151" spans="1:41" x14ac:dyDescent="0.25">
      <c r="A151" s="6">
        <v>3</v>
      </c>
      <c r="B151" s="1" t="s">
        <v>100</v>
      </c>
      <c r="C151" s="3">
        <v>1</v>
      </c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6">
        <f t="shared" si="5"/>
        <v>1</v>
      </c>
      <c r="AK151" s="2"/>
      <c r="AL151" s="2"/>
      <c r="AM151" s="2"/>
      <c r="AN151" s="2"/>
      <c r="AO151" s="2"/>
    </row>
    <row r="152" spans="1:41" x14ac:dyDescent="0.25">
      <c r="A152" s="6">
        <v>4</v>
      </c>
      <c r="B152" s="1" t="s">
        <v>101</v>
      </c>
      <c r="C152" s="3">
        <v>1</v>
      </c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6">
        <f t="shared" si="5"/>
        <v>1</v>
      </c>
      <c r="AK152" s="2"/>
      <c r="AL152" s="2"/>
      <c r="AM152" s="2"/>
      <c r="AN152" s="2"/>
      <c r="AO152" s="2"/>
    </row>
    <row r="153" spans="1:41" x14ac:dyDescent="0.25">
      <c r="A153" s="6">
        <v>5</v>
      </c>
      <c r="B153" s="1" t="s">
        <v>102</v>
      </c>
      <c r="C153" s="3">
        <v>12</v>
      </c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6">
        <f t="shared" si="5"/>
        <v>12</v>
      </c>
      <c r="AK153" s="2"/>
      <c r="AL153" s="2"/>
      <c r="AM153" s="2"/>
      <c r="AN153" s="2"/>
      <c r="AO153" s="2"/>
    </row>
    <row r="154" spans="1:41" x14ac:dyDescent="0.25">
      <c r="A154" s="6">
        <v>6</v>
      </c>
      <c r="B154" s="1" t="s">
        <v>103</v>
      </c>
      <c r="C154" s="3">
        <v>5</v>
      </c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6">
        <f t="shared" si="5"/>
        <v>5</v>
      </c>
      <c r="AK154" s="2"/>
      <c r="AL154" s="2"/>
      <c r="AM154" s="2"/>
      <c r="AN154" s="2"/>
      <c r="AO154" s="2"/>
    </row>
    <row r="155" spans="1:41" x14ac:dyDescent="0.25">
      <c r="A155" s="6">
        <v>7</v>
      </c>
      <c r="B155" s="1" t="s">
        <v>104</v>
      </c>
      <c r="C155" s="3">
        <v>5</v>
      </c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6">
        <f t="shared" si="5"/>
        <v>5</v>
      </c>
      <c r="AK155" s="2"/>
      <c r="AL155" s="2"/>
      <c r="AM155" s="2"/>
      <c r="AN155" s="2"/>
      <c r="AO155" s="2"/>
    </row>
    <row r="156" spans="1:41" x14ac:dyDescent="0.25">
      <c r="A156" s="6">
        <v>8</v>
      </c>
      <c r="B156" s="1" t="s">
        <v>105</v>
      </c>
      <c r="C156" s="3">
        <v>3</v>
      </c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6">
        <f t="shared" si="5"/>
        <v>3</v>
      </c>
      <c r="AK156" s="2"/>
      <c r="AL156" s="2"/>
      <c r="AM156" s="2"/>
      <c r="AN156" s="2"/>
      <c r="AO156" s="2"/>
    </row>
    <row r="157" spans="1:41" x14ac:dyDescent="0.25">
      <c r="A157" s="6">
        <v>9</v>
      </c>
      <c r="B157" s="1" t="s">
        <v>106</v>
      </c>
      <c r="C157" s="3">
        <v>1</v>
      </c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6">
        <f t="shared" si="5"/>
        <v>1</v>
      </c>
      <c r="AK157" s="2"/>
      <c r="AL157" s="2"/>
      <c r="AM157" s="2"/>
      <c r="AN157" s="2"/>
      <c r="AO157" s="2"/>
    </row>
    <row r="158" spans="1:41" x14ac:dyDescent="0.25">
      <c r="A158" s="6">
        <v>10</v>
      </c>
      <c r="B158" s="1" t="s">
        <v>107</v>
      </c>
      <c r="C158" s="3">
        <v>1</v>
      </c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6">
        <f t="shared" si="5"/>
        <v>1</v>
      </c>
      <c r="AK158" s="2"/>
      <c r="AL158" s="2"/>
      <c r="AM158" s="2"/>
      <c r="AN158" s="2"/>
      <c r="AO158" s="2"/>
    </row>
    <row r="159" spans="1:41" x14ac:dyDescent="0.25">
      <c r="A159" s="6">
        <v>11</v>
      </c>
      <c r="B159" s="1" t="s">
        <v>108</v>
      </c>
      <c r="C159" s="3">
        <v>1</v>
      </c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6">
        <f t="shared" si="5"/>
        <v>1</v>
      </c>
      <c r="AK159" s="2"/>
      <c r="AL159" s="2"/>
      <c r="AM159" s="2"/>
      <c r="AN159" s="2"/>
      <c r="AO159" s="2"/>
    </row>
    <row r="160" spans="1:41" x14ac:dyDescent="0.25">
      <c r="A160" s="6">
        <v>12</v>
      </c>
      <c r="B160" s="1" t="s">
        <v>109</v>
      </c>
      <c r="C160" s="3">
        <v>1</v>
      </c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6">
        <f t="shared" si="5"/>
        <v>1</v>
      </c>
      <c r="AK160" s="2"/>
      <c r="AL160" s="2"/>
      <c r="AM160" s="2"/>
      <c r="AN160" s="2"/>
      <c r="AO160" s="2"/>
    </row>
    <row r="161" spans="1:41" x14ac:dyDescent="0.25">
      <c r="A161" s="6">
        <v>14</v>
      </c>
      <c r="B161" s="1" t="s">
        <v>111</v>
      </c>
      <c r="C161" s="3">
        <v>1</v>
      </c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6">
        <f t="shared" si="5"/>
        <v>1</v>
      </c>
      <c r="AK161" s="2"/>
      <c r="AL161" s="2"/>
      <c r="AM161" s="2"/>
      <c r="AN161" s="2"/>
      <c r="AO161" s="2"/>
    </row>
    <row r="162" spans="1:41" x14ac:dyDescent="0.25">
      <c r="A162" s="6">
        <v>15</v>
      </c>
      <c r="B162" s="1" t="s">
        <v>112</v>
      </c>
      <c r="C162" s="3">
        <v>1</v>
      </c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6">
        <f t="shared" si="5"/>
        <v>1</v>
      </c>
      <c r="AK162" s="2"/>
      <c r="AL162" s="2"/>
      <c r="AM162" s="2"/>
      <c r="AN162" s="2"/>
      <c r="AO162" s="2"/>
    </row>
    <row r="163" spans="1:41" x14ac:dyDescent="0.25">
      <c r="A163" s="6">
        <v>16</v>
      </c>
      <c r="B163" s="1" t="s">
        <v>113</v>
      </c>
      <c r="C163" s="3">
        <v>1</v>
      </c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6">
        <f t="shared" si="5"/>
        <v>1</v>
      </c>
      <c r="AK163" s="2"/>
      <c r="AL163" s="2"/>
      <c r="AM163" s="2"/>
      <c r="AN163" s="2"/>
      <c r="AO163" s="2"/>
    </row>
    <row r="164" spans="1:41" x14ac:dyDescent="0.25">
      <c r="A164" s="6">
        <v>17</v>
      </c>
      <c r="B164" s="1" t="s">
        <v>114</v>
      </c>
      <c r="C164" s="3">
        <v>1</v>
      </c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6">
        <f t="shared" si="5"/>
        <v>1</v>
      </c>
      <c r="AK164" s="2"/>
      <c r="AL164" s="2"/>
      <c r="AM164" s="2"/>
      <c r="AN164" s="2"/>
      <c r="AO164" s="2"/>
    </row>
    <row r="165" spans="1:41" x14ac:dyDescent="0.25">
      <c r="A165" s="6">
        <v>18</v>
      </c>
      <c r="B165" s="1" t="s">
        <v>115</v>
      </c>
      <c r="C165" s="3">
        <v>50</v>
      </c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6">
        <f t="shared" si="5"/>
        <v>50</v>
      </c>
      <c r="AK165" s="2"/>
      <c r="AL165" s="2"/>
      <c r="AM165" s="2"/>
      <c r="AN165" s="2"/>
      <c r="AO165" s="2"/>
    </row>
    <row r="166" spans="1:41" x14ac:dyDescent="0.25">
      <c r="A166" s="6">
        <v>19</v>
      </c>
      <c r="B166" s="1" t="s">
        <v>116</v>
      </c>
      <c r="C166" s="3">
        <v>40</v>
      </c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6">
        <f t="shared" si="5"/>
        <v>40</v>
      </c>
      <c r="AK166" s="2"/>
      <c r="AL166" s="2"/>
      <c r="AM166" s="2"/>
      <c r="AN166" s="2"/>
      <c r="AO166" s="2"/>
    </row>
    <row r="167" spans="1:41" x14ac:dyDescent="0.25">
      <c r="A167" s="6">
        <v>20</v>
      </c>
      <c r="B167" s="1" t="s">
        <v>117</v>
      </c>
      <c r="C167" s="3">
        <v>41</v>
      </c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6">
        <f t="shared" si="5"/>
        <v>41</v>
      </c>
      <c r="AK167" s="2"/>
      <c r="AL167" s="2"/>
      <c r="AM167" s="2"/>
      <c r="AN167" s="2"/>
      <c r="AO167" s="2"/>
    </row>
    <row r="168" spans="1:41" x14ac:dyDescent="0.25">
      <c r="A168" s="6">
        <v>21</v>
      </c>
      <c r="B168" s="1" t="s">
        <v>118</v>
      </c>
      <c r="C168" s="3">
        <v>42</v>
      </c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6">
        <f t="shared" si="5"/>
        <v>42</v>
      </c>
      <c r="AK168" s="2"/>
      <c r="AL168" s="2"/>
      <c r="AM168" s="2"/>
      <c r="AN168" s="2"/>
      <c r="AO168" s="2"/>
    </row>
    <row r="169" spans="1:41" x14ac:dyDescent="0.25">
      <c r="A169" s="6">
        <v>22</v>
      </c>
      <c r="B169" s="1" t="s">
        <v>110</v>
      </c>
      <c r="C169" s="3">
        <v>3</v>
      </c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6">
        <f t="shared" si="5"/>
        <v>3</v>
      </c>
      <c r="AK169" s="2"/>
      <c r="AL169" s="2"/>
      <c r="AM169" s="2"/>
      <c r="AN169" s="2"/>
      <c r="AO169" s="2"/>
    </row>
    <row r="170" spans="1:41" x14ac:dyDescent="0.25">
      <c r="A170" s="6">
        <v>23</v>
      </c>
      <c r="B170" s="1" t="s">
        <v>119</v>
      </c>
      <c r="C170" s="3">
        <v>2</v>
      </c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6">
        <f t="shared" si="5"/>
        <v>2</v>
      </c>
      <c r="AK170" s="2"/>
      <c r="AL170" s="2"/>
      <c r="AM170" s="2"/>
      <c r="AN170" s="2"/>
      <c r="AO170" s="2"/>
    </row>
    <row r="171" spans="1:41" x14ac:dyDescent="0.25">
      <c r="A171" s="6">
        <v>24</v>
      </c>
      <c r="B171" s="1" t="s">
        <v>120</v>
      </c>
      <c r="C171" s="3">
        <v>2</v>
      </c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6">
        <f t="shared" si="5"/>
        <v>2</v>
      </c>
      <c r="AK171" s="2"/>
      <c r="AL171" s="2"/>
      <c r="AM171" s="2"/>
      <c r="AN171" s="2"/>
      <c r="AO171" s="2"/>
    </row>
    <row r="172" spans="1:41" x14ac:dyDescent="0.25">
      <c r="A172" s="6">
        <v>25</v>
      </c>
      <c r="B172" s="1" t="s">
        <v>121</v>
      </c>
      <c r="C172" s="3">
        <v>2</v>
      </c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6">
        <f t="shared" si="5"/>
        <v>2</v>
      </c>
      <c r="AK172" s="2"/>
      <c r="AL172" s="2"/>
      <c r="AM172" s="2"/>
      <c r="AN172" s="2"/>
      <c r="AO172" s="2"/>
    </row>
    <row r="173" spans="1:41" x14ac:dyDescent="0.25">
      <c r="A173" s="6">
        <v>26</v>
      </c>
      <c r="B173" s="1" t="s">
        <v>122</v>
      </c>
      <c r="C173" s="6">
        <v>31</v>
      </c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6">
        <f t="shared" si="5"/>
        <v>31</v>
      </c>
      <c r="AK173" s="2"/>
      <c r="AL173" s="2"/>
      <c r="AM173" s="2"/>
      <c r="AN173" s="2"/>
      <c r="AO173" s="2"/>
    </row>
    <row r="174" spans="1:41" x14ac:dyDescent="0.25">
      <c r="A174" s="6">
        <v>27</v>
      </c>
      <c r="B174" s="1" t="s">
        <v>123</v>
      </c>
      <c r="C174" s="6">
        <v>31</v>
      </c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6">
        <f t="shared" si="5"/>
        <v>31</v>
      </c>
      <c r="AK174" s="2"/>
      <c r="AL174" s="2"/>
      <c r="AM174" s="2"/>
      <c r="AN174" s="2"/>
      <c r="AO174" s="2"/>
    </row>
    <row r="175" spans="1:41" x14ac:dyDescent="0.25">
      <c r="A175" s="6">
        <v>28</v>
      </c>
      <c r="B175" s="1" t="s">
        <v>124</v>
      </c>
      <c r="C175" s="6">
        <v>29</v>
      </c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6">
        <f t="shared" si="5"/>
        <v>29</v>
      </c>
      <c r="AK175" s="2"/>
      <c r="AL175" s="2"/>
      <c r="AM175" s="2"/>
      <c r="AN175" s="2"/>
      <c r="AO175" s="2"/>
    </row>
    <row r="176" spans="1:41" x14ac:dyDescent="0.25">
      <c r="A176" s="6">
        <v>29</v>
      </c>
      <c r="B176" s="1" t="s">
        <v>125</v>
      </c>
      <c r="C176" s="6">
        <v>30</v>
      </c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6">
        <f t="shared" si="5"/>
        <v>30</v>
      </c>
      <c r="AK176" s="2"/>
      <c r="AL176" s="2"/>
      <c r="AM176" s="2"/>
      <c r="AN176" s="2"/>
      <c r="AO176" s="2"/>
    </row>
    <row r="177" spans="1:41" x14ac:dyDescent="0.25">
      <c r="A177" s="6">
        <v>30</v>
      </c>
      <c r="B177" s="1" t="s">
        <v>126</v>
      </c>
      <c r="C177" s="6">
        <v>2</v>
      </c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6">
        <f t="shared" si="5"/>
        <v>2</v>
      </c>
      <c r="AK177" s="2"/>
      <c r="AL177" s="2"/>
      <c r="AM177" s="2"/>
      <c r="AN177" s="2"/>
      <c r="AO177" s="2"/>
    </row>
    <row r="178" spans="1:41" x14ac:dyDescent="0.25">
      <c r="A178" s="6">
        <v>31</v>
      </c>
      <c r="B178" s="1" t="s">
        <v>127</v>
      </c>
      <c r="C178" s="6">
        <v>4</v>
      </c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6">
        <f t="shared" si="5"/>
        <v>4</v>
      </c>
      <c r="AK178" s="2"/>
      <c r="AL178" s="2"/>
      <c r="AM178" s="2"/>
      <c r="AN178" s="2"/>
      <c r="AO178" s="2"/>
    </row>
    <row r="179" spans="1:41" x14ac:dyDescent="0.25">
      <c r="A179" s="6">
        <v>32</v>
      </c>
      <c r="B179" s="1" t="s">
        <v>128</v>
      </c>
      <c r="C179" s="6">
        <v>4</v>
      </c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6">
        <f t="shared" si="5"/>
        <v>4</v>
      </c>
      <c r="AK179" s="2"/>
      <c r="AL179" s="2"/>
      <c r="AM179" s="2"/>
      <c r="AN179" s="2"/>
      <c r="AO179" s="2"/>
    </row>
    <row r="180" spans="1:41" x14ac:dyDescent="0.25">
      <c r="A180" s="6">
        <v>33</v>
      </c>
      <c r="B180" s="1" t="s">
        <v>129</v>
      </c>
      <c r="C180" s="6">
        <v>4</v>
      </c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6">
        <f t="shared" si="5"/>
        <v>4</v>
      </c>
      <c r="AK180" s="2"/>
      <c r="AL180" s="2"/>
      <c r="AM180" s="2"/>
      <c r="AN180" s="2"/>
      <c r="AO180" s="2"/>
    </row>
    <row r="181" spans="1:41" x14ac:dyDescent="0.25">
      <c r="A181" s="6">
        <v>34</v>
      </c>
      <c r="B181" s="1" t="s">
        <v>130</v>
      </c>
      <c r="C181" s="6">
        <v>17</v>
      </c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6">
        <f t="shared" si="5"/>
        <v>17</v>
      </c>
      <c r="AK181" s="2"/>
      <c r="AL181" s="2"/>
      <c r="AM181" s="2"/>
      <c r="AN181" s="2"/>
      <c r="AO181" s="2"/>
    </row>
    <row r="182" spans="1:41" x14ac:dyDescent="0.25">
      <c r="A182" s="6">
        <v>35</v>
      </c>
      <c r="B182" s="1" t="s">
        <v>131</v>
      </c>
      <c r="C182" s="6">
        <v>11</v>
      </c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6">
        <f t="shared" si="5"/>
        <v>11</v>
      </c>
      <c r="AK182" s="2"/>
      <c r="AL182" s="2"/>
      <c r="AM182" s="2"/>
      <c r="AN182" s="2"/>
      <c r="AO182" s="2"/>
    </row>
    <row r="183" spans="1:41" x14ac:dyDescent="0.25">
      <c r="A183" s="6">
        <v>36</v>
      </c>
      <c r="B183" s="1" t="s">
        <v>132</v>
      </c>
      <c r="C183" s="6">
        <v>11</v>
      </c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6">
        <f t="shared" si="5"/>
        <v>11</v>
      </c>
      <c r="AK183" s="2"/>
      <c r="AL183" s="2"/>
      <c r="AM183" s="2"/>
      <c r="AN183" s="2"/>
      <c r="AO183" s="2"/>
    </row>
    <row r="184" spans="1:41" x14ac:dyDescent="0.25">
      <c r="A184" s="6">
        <v>37</v>
      </c>
      <c r="B184" s="1" t="s">
        <v>133</v>
      </c>
      <c r="C184" s="6">
        <v>11</v>
      </c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6">
        <f t="shared" si="5"/>
        <v>11</v>
      </c>
      <c r="AK184" s="2"/>
      <c r="AL184" s="2"/>
      <c r="AM184" s="2"/>
      <c r="AN184" s="2"/>
      <c r="AO184" s="2"/>
    </row>
    <row r="185" spans="1:41" x14ac:dyDescent="0.25">
      <c r="A185" s="6">
        <v>38</v>
      </c>
      <c r="B185" s="1" t="s">
        <v>134</v>
      </c>
      <c r="C185" s="6">
        <v>2</v>
      </c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6">
        <f t="shared" si="5"/>
        <v>2</v>
      </c>
      <c r="AK185" s="2"/>
      <c r="AL185" s="2"/>
      <c r="AM185" s="2"/>
      <c r="AN185" s="2"/>
      <c r="AO185" s="2"/>
    </row>
    <row r="186" spans="1:41" x14ac:dyDescent="0.25">
      <c r="A186" s="6">
        <v>39</v>
      </c>
      <c r="B186" s="1" t="s">
        <v>135</v>
      </c>
      <c r="C186" s="6">
        <v>3</v>
      </c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6">
        <f t="shared" si="5"/>
        <v>3</v>
      </c>
      <c r="AK186" s="2"/>
      <c r="AL186" s="2"/>
      <c r="AM186" s="2"/>
      <c r="AN186" s="2"/>
      <c r="AO186" s="2"/>
    </row>
    <row r="187" spans="1:41" x14ac:dyDescent="0.25">
      <c r="A187" s="6">
        <v>40</v>
      </c>
      <c r="B187" s="1" t="s">
        <v>136</v>
      </c>
      <c r="C187" s="6">
        <v>3</v>
      </c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6">
        <f t="shared" si="5"/>
        <v>3</v>
      </c>
      <c r="AK187" s="2"/>
      <c r="AL187" s="2"/>
      <c r="AM187" s="2"/>
      <c r="AN187" s="2"/>
      <c r="AO187" s="2"/>
    </row>
    <row r="188" spans="1:41" x14ac:dyDescent="0.25">
      <c r="A188" s="6">
        <v>41</v>
      </c>
      <c r="B188" s="1" t="s">
        <v>137</v>
      </c>
      <c r="C188" s="6">
        <v>2</v>
      </c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6">
        <f t="shared" si="5"/>
        <v>2</v>
      </c>
      <c r="AK188" s="2"/>
      <c r="AL188" s="2"/>
      <c r="AM188" s="2"/>
      <c r="AN188" s="2"/>
      <c r="AO188" s="2"/>
    </row>
    <row r="189" spans="1:41" x14ac:dyDescent="0.25">
      <c r="A189" s="6">
        <v>42</v>
      </c>
      <c r="B189" s="2" t="s">
        <v>138</v>
      </c>
      <c r="C189" s="6">
        <v>3</v>
      </c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6">
        <f t="shared" si="5"/>
        <v>3</v>
      </c>
      <c r="AK189" s="2"/>
      <c r="AL189" s="2"/>
      <c r="AM189" s="2"/>
      <c r="AN189" s="2"/>
      <c r="AO189" s="2"/>
    </row>
    <row r="190" spans="1:41" x14ac:dyDescent="0.25">
      <c r="A190" s="6">
        <v>43</v>
      </c>
      <c r="B190" s="2" t="s">
        <v>139</v>
      </c>
      <c r="C190" s="6">
        <v>3</v>
      </c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6">
        <f t="shared" si="5"/>
        <v>3</v>
      </c>
      <c r="AK190" s="2"/>
      <c r="AL190" s="2"/>
      <c r="AM190" s="2"/>
      <c r="AN190" s="2"/>
      <c r="AO190" s="2"/>
    </row>
    <row r="191" spans="1:41" x14ac:dyDescent="0.25">
      <c r="A191" s="6">
        <v>44</v>
      </c>
      <c r="B191" s="2" t="s">
        <v>140</v>
      </c>
      <c r="C191" s="6">
        <v>2</v>
      </c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6">
        <f t="shared" si="5"/>
        <v>2</v>
      </c>
      <c r="AK191" s="2"/>
      <c r="AL191" s="2"/>
      <c r="AM191" s="2"/>
      <c r="AN191" s="2"/>
      <c r="AO191" s="2"/>
    </row>
    <row r="192" spans="1:41" x14ac:dyDescent="0.25">
      <c r="A192" s="6">
        <v>45</v>
      </c>
      <c r="B192" s="2" t="s">
        <v>141</v>
      </c>
      <c r="C192" s="6">
        <v>12</v>
      </c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6">
        <f t="shared" si="5"/>
        <v>12</v>
      </c>
      <c r="AK192" s="2"/>
      <c r="AL192" s="2"/>
      <c r="AM192" s="2"/>
      <c r="AN192" s="2"/>
      <c r="AO192" s="2"/>
    </row>
    <row r="193" spans="1:41" x14ac:dyDescent="0.25">
      <c r="A193" s="6">
        <v>46</v>
      </c>
      <c r="B193" s="2" t="s">
        <v>142</v>
      </c>
      <c r="C193" s="6">
        <v>2</v>
      </c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6">
        <f t="shared" si="5"/>
        <v>2</v>
      </c>
      <c r="AK193" s="2"/>
      <c r="AL193" s="2"/>
      <c r="AM193" s="2"/>
      <c r="AN193" s="2"/>
      <c r="AO193" s="2"/>
    </row>
    <row r="194" spans="1:41" x14ac:dyDescent="0.25">
      <c r="A194" s="6">
        <v>47</v>
      </c>
      <c r="B194" s="2" t="s">
        <v>143</v>
      </c>
      <c r="C194" s="6">
        <v>3</v>
      </c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6">
        <f t="shared" si="5"/>
        <v>3</v>
      </c>
      <c r="AK194" s="2"/>
      <c r="AL194" s="2"/>
      <c r="AM194" s="2"/>
      <c r="AN194" s="2"/>
      <c r="AO194" s="2"/>
    </row>
    <row r="200" spans="1:41" x14ac:dyDescent="0.25">
      <c r="A200" s="38" t="s">
        <v>157</v>
      </c>
      <c r="B200" s="38"/>
    </row>
    <row r="201" spans="1:41" x14ac:dyDescent="0.25">
      <c r="A201" s="12" t="s">
        <v>0</v>
      </c>
      <c r="B201" s="12" t="s">
        <v>1</v>
      </c>
      <c r="C201" s="14" t="s">
        <v>2</v>
      </c>
      <c r="D201" s="13">
        <v>1</v>
      </c>
      <c r="E201" s="13">
        <v>2</v>
      </c>
      <c r="F201" s="13">
        <v>3</v>
      </c>
      <c r="G201" s="13">
        <v>4</v>
      </c>
      <c r="H201" s="13">
        <v>5</v>
      </c>
      <c r="I201" s="13">
        <v>6</v>
      </c>
      <c r="J201" s="13">
        <v>7</v>
      </c>
      <c r="K201" s="13">
        <v>8</v>
      </c>
      <c r="L201" s="13">
        <v>9</v>
      </c>
      <c r="M201" s="13">
        <v>10</v>
      </c>
      <c r="N201" s="13">
        <v>11</v>
      </c>
      <c r="O201" s="13">
        <v>12</v>
      </c>
      <c r="P201" s="13">
        <v>13</v>
      </c>
      <c r="Q201" s="13">
        <v>14</v>
      </c>
      <c r="R201" s="13">
        <v>15</v>
      </c>
      <c r="S201" s="13">
        <v>16</v>
      </c>
      <c r="T201" s="13">
        <v>17</v>
      </c>
      <c r="U201" s="13">
        <v>18</v>
      </c>
      <c r="V201" s="13">
        <v>19</v>
      </c>
      <c r="W201" s="13">
        <v>20</v>
      </c>
      <c r="X201" s="13">
        <v>21</v>
      </c>
      <c r="Y201" s="13">
        <v>22</v>
      </c>
      <c r="Z201" s="13">
        <v>23</v>
      </c>
      <c r="AA201" s="13">
        <v>24</v>
      </c>
      <c r="AB201" s="13">
        <v>25</v>
      </c>
      <c r="AC201" s="13">
        <v>26</v>
      </c>
      <c r="AD201" s="13">
        <v>27</v>
      </c>
      <c r="AE201" s="13">
        <v>28</v>
      </c>
      <c r="AF201" s="13">
        <v>29</v>
      </c>
      <c r="AG201" s="13">
        <v>30</v>
      </c>
      <c r="AH201" s="13">
        <v>31</v>
      </c>
      <c r="AI201" s="14" t="s">
        <v>3</v>
      </c>
    </row>
    <row r="202" spans="1:41" x14ac:dyDescent="0.25">
      <c r="A202" s="6">
        <v>1</v>
      </c>
      <c r="B202" s="1" t="s">
        <v>158</v>
      </c>
      <c r="C202" s="6">
        <v>1</v>
      </c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6">
        <f>C202-D202-E202-F202-G202-H202-I202-J202-K202-L202-M202-N202-O202-P202-Q202-R202-S202-T202-U202-V202-W202-X202-Y202-Z202-AA202-AB202-AC202-AD202-AE202-AF202-AG202-AH202</f>
        <v>1</v>
      </c>
    </row>
    <row r="203" spans="1:41" x14ac:dyDescent="0.25">
      <c r="A203" s="6"/>
      <c r="B203" s="1"/>
      <c r="C203" s="6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6">
        <f t="shared" ref="AI203:AI213" si="6">C203-D203-E203-F203-G203-H203-I203-J203-K203-L203-M203-N203-O203-P203-Q203-R203-S203-T203-U203-V203-W203-X203-Y203-Z203-AA203-AB203-AC203-AD203-AE203-AF203-AG203-AH203</f>
        <v>0</v>
      </c>
    </row>
    <row r="204" spans="1:41" x14ac:dyDescent="0.25">
      <c r="A204" s="6"/>
      <c r="B204" s="1"/>
      <c r="C204" s="6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6">
        <f t="shared" si="6"/>
        <v>0</v>
      </c>
    </row>
    <row r="205" spans="1:41" x14ac:dyDescent="0.25">
      <c r="A205" s="6"/>
      <c r="B205" s="2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6">
        <f t="shared" si="6"/>
        <v>0</v>
      </c>
    </row>
    <row r="206" spans="1:41" x14ac:dyDescent="0.25">
      <c r="A206" s="6"/>
      <c r="B206" s="2"/>
      <c r="C206" s="6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6">
        <f t="shared" si="6"/>
        <v>0</v>
      </c>
    </row>
    <row r="207" spans="1:41" x14ac:dyDescent="0.25">
      <c r="A207" s="6"/>
      <c r="B207" s="2"/>
      <c r="C207" s="6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6">
        <f t="shared" si="6"/>
        <v>0</v>
      </c>
    </row>
    <row r="208" spans="1:41" x14ac:dyDescent="0.25">
      <c r="A208" s="6"/>
      <c r="B208" s="2"/>
      <c r="C208" s="6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6">
        <f t="shared" si="6"/>
        <v>0</v>
      </c>
    </row>
    <row r="209" spans="1:35" x14ac:dyDescent="0.25">
      <c r="A209" s="6"/>
      <c r="B209" s="2"/>
      <c r="C209" s="6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6">
        <f t="shared" si="6"/>
        <v>0</v>
      </c>
    </row>
    <row r="210" spans="1:35" x14ac:dyDescent="0.25">
      <c r="A210" s="6"/>
      <c r="B210" s="2"/>
      <c r="C210" s="6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6">
        <f t="shared" si="6"/>
        <v>0</v>
      </c>
    </row>
    <row r="211" spans="1:35" x14ac:dyDescent="0.25">
      <c r="A211" s="6"/>
      <c r="B211" s="2"/>
      <c r="C211" s="6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6">
        <f t="shared" si="6"/>
        <v>0</v>
      </c>
    </row>
    <row r="212" spans="1:35" x14ac:dyDescent="0.25">
      <c r="A212" s="6"/>
      <c r="B212" s="2"/>
      <c r="C212" s="6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6">
        <f t="shared" si="6"/>
        <v>0</v>
      </c>
    </row>
    <row r="213" spans="1:35" x14ac:dyDescent="0.25">
      <c r="A213" s="6"/>
      <c r="B213" s="2"/>
      <c r="C213" s="6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6">
        <f t="shared" si="6"/>
        <v>0</v>
      </c>
    </row>
  </sheetData>
  <mergeCells count="12">
    <mergeCell ref="AK53:AO53"/>
    <mergeCell ref="A105:B105"/>
    <mergeCell ref="AK106:AO106"/>
    <mergeCell ref="A147:B147"/>
    <mergeCell ref="AK148:AO148"/>
    <mergeCell ref="A200:B200"/>
    <mergeCell ref="A1:AI1"/>
    <mergeCell ref="A2:B2"/>
    <mergeCell ref="AK3:AO3"/>
    <mergeCell ref="A33:B33"/>
    <mergeCell ref="AK34:AO34"/>
    <mergeCell ref="A52:B5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September</vt:lpstr>
      <vt:lpstr>Oktober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2026-09-01T01:26:33Z</dcterms:created>
  <dcterms:modified xsi:type="dcterms:W3CDTF">2026-10-06T03:22:43Z</dcterms:modified>
</cp:coreProperties>
</file>