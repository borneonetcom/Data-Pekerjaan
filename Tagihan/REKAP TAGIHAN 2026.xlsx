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-Pekerjaan\Tagihan\"/>
    </mc:Choice>
  </mc:AlternateContent>
  <xr:revisionPtr revIDLastSave="0" documentId="13_ncr:1_{A1C2A426-FBC7-4FA6-9B6F-80597B175DBD}" xr6:coauthVersionLast="47" xr6:coauthVersionMax="47" xr10:uidLastSave="{00000000-0000-0000-0000-000000000000}"/>
  <bookViews>
    <workbookView xWindow="-120" yWindow="-120" windowWidth="20730" windowHeight="11040" tabRatio="598" activeTab="3" xr2:uid="{BDEDF47B-1279-4C7F-95B0-1DB6A955F9DB}"/>
  </bookViews>
  <sheets>
    <sheet name="Juli" sheetId="1" r:id="rId1"/>
    <sheet name="Agustus" sheetId="2" r:id="rId2"/>
    <sheet name="September" sheetId="3" r:id="rId3"/>
    <sheet name="Oktob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4" l="1"/>
  <c r="G68" i="2"/>
  <c r="G71" i="3" l="1"/>
  <c r="G60" i="1"/>
</calcChain>
</file>

<file path=xl/sharedStrings.xml><?xml version="1.0" encoding="utf-8"?>
<sst xmlns="http://schemas.openxmlformats.org/spreadsheetml/2006/main" count="654" uniqueCount="319">
  <si>
    <t>No</t>
  </si>
  <si>
    <t>Tanggal</t>
  </si>
  <si>
    <t>Nama Pelanggan</t>
  </si>
  <si>
    <t>Pekerjaan</t>
  </si>
  <si>
    <t>Total Tagihan</t>
  </si>
  <si>
    <t>Status</t>
  </si>
  <si>
    <t>Keterangan</t>
  </si>
  <si>
    <t>Panduan :</t>
  </si>
  <si>
    <t>:</t>
  </si>
  <si>
    <t>No. Nota/Invoice</t>
  </si>
  <si>
    <t>Dibuat/Ditagih/Dibayar</t>
  </si>
  <si>
    <t>Metode Pembayaran</t>
  </si>
  <si>
    <t>DIBUAT</t>
  </si>
  <si>
    <t>Status Tagihan</t>
  </si>
  <si>
    <t>Pembayaran</t>
  </si>
  <si>
    <t>Tunai/Transfer</t>
  </si>
  <si>
    <t>20 Juli 2026</t>
  </si>
  <si>
    <t>001/INV/BNC/{bulan}/2026</t>
  </si>
  <si>
    <t>PT. Mizan</t>
  </si>
  <si>
    <t>Pengambilan Camera Ezviz 20 Unit</t>
  </si>
  <si>
    <t>13 Juli 2026</t>
  </si>
  <si>
    <t>Pengambilan Camera Ezviz 10 Unit &amp; Box Panel</t>
  </si>
  <si>
    <t>DITAGIH</t>
  </si>
  <si>
    <t>Barang diambil Sandi</t>
  </si>
  <si>
    <t>10 Juni 2026</t>
  </si>
  <si>
    <t>Baim (PT Mizan)</t>
  </si>
  <si>
    <t>Pengambilan Camera &amp; NVR Kantor Banjarmasin</t>
  </si>
  <si>
    <t>14 Juli 2026</t>
  </si>
  <si>
    <t>SMKN 1 Tanjung</t>
  </si>
  <si>
    <t>Perbaikan CCTV</t>
  </si>
  <si>
    <t>Ponpes Nurul Mustafa</t>
  </si>
  <si>
    <t>19 Juli 2026</t>
  </si>
  <si>
    <t>H. Mustafa DPRD</t>
  </si>
  <si>
    <t>Perbaikan CCTV di MBG Hikun &amp; Tantaringin</t>
  </si>
  <si>
    <t>Toko Afif Hikun</t>
  </si>
  <si>
    <t>100/INV/BNC/VII/2026</t>
  </si>
  <si>
    <t>07 Juli 2026</t>
  </si>
  <si>
    <t>PT. Indo Tehnik</t>
  </si>
  <si>
    <t>Pemasangan AC Baru</t>
  </si>
  <si>
    <t>Hadi Agung</t>
  </si>
  <si>
    <t>Pengambilan Camera Ezviz H8C 2MP</t>
  </si>
  <si>
    <t>27 Juni 2026</t>
  </si>
  <si>
    <t>Doni (AC)</t>
  </si>
  <si>
    <t>Pengambilan Camera</t>
  </si>
  <si>
    <t>17 Juni 2026</t>
  </si>
  <si>
    <t>Toko Jangkung</t>
  </si>
  <si>
    <t>Ganti HTB</t>
  </si>
  <si>
    <t>30 Juni 2026</t>
  </si>
  <si>
    <t>Ibu Jamilah Dispora</t>
  </si>
  <si>
    <t>Pindah Pasang AC</t>
  </si>
  <si>
    <t>MTsN 4 Tabalong</t>
  </si>
  <si>
    <t>Perbaikan Printer Canon G3010</t>
  </si>
  <si>
    <t>Linda Regency</t>
  </si>
  <si>
    <t>Ganti Memori Card</t>
  </si>
  <si>
    <t>05 Juli 2026</t>
  </si>
  <si>
    <t>H. Surian</t>
  </si>
  <si>
    <t>Perbaikan CCTV dan Service AC rumah</t>
  </si>
  <si>
    <t>PT. HKB</t>
  </si>
  <si>
    <t>Fuad Seberang</t>
  </si>
  <si>
    <t>Pasang Camera Ezviz Di Halte Barunak | Kelua | Muara Uya</t>
  </si>
  <si>
    <t>05 Juni 2026</t>
  </si>
  <si>
    <t>BSI Tanjung</t>
  </si>
  <si>
    <t>Perbaikan CCTV di ATM Kemenag</t>
  </si>
  <si>
    <t>Ari Oci</t>
  </si>
  <si>
    <t>Perbaikan CCTV di rumah Linda 5</t>
  </si>
  <si>
    <t>07 Mei 2026</t>
  </si>
  <si>
    <t>Ifit (AC)</t>
  </si>
  <si>
    <t>Perbaikan CCTV di MPP</t>
  </si>
  <si>
    <t>06 April 2026</t>
  </si>
  <si>
    <t>Pengambilan Camera H6C + Memori 128GB</t>
  </si>
  <si>
    <t>Abah Nanda Loksado</t>
  </si>
  <si>
    <t>Pengadaan AC</t>
  </si>
  <si>
    <t>Pengambilan Monitor</t>
  </si>
  <si>
    <t>02 Maret 2026</t>
  </si>
  <si>
    <t>19 Februari</t>
  </si>
  <si>
    <t>Pengambilan Camera Imou Ranger A2</t>
  </si>
  <si>
    <t>CPU Bekas + Kelengkapannya</t>
  </si>
  <si>
    <t>03 Maret 2026</t>
  </si>
  <si>
    <t>STM</t>
  </si>
  <si>
    <t>Penambahan CCTV</t>
  </si>
  <si>
    <t>26 Juli 2026</t>
  </si>
  <si>
    <t>Pa Zulkarnain Gunung Batu</t>
  </si>
  <si>
    <t>Pasang Camera Ezviz H6C 1 Paket</t>
  </si>
  <si>
    <t>Pa Gani</t>
  </si>
  <si>
    <t>Sudaryono</t>
  </si>
  <si>
    <t>Reposisi PSU</t>
  </si>
  <si>
    <t>Pa Awiek</t>
  </si>
  <si>
    <t>27 Juli 2026</t>
  </si>
  <si>
    <t>Ibu Guru Danau</t>
  </si>
  <si>
    <t>SMA Tanta</t>
  </si>
  <si>
    <t>Penarikan Kabel Fiber</t>
  </si>
  <si>
    <t>Mesjid Nurul Anwar (Agung)</t>
  </si>
  <si>
    <t>SDN 2 Hikun</t>
  </si>
  <si>
    <t>Pa Masdar</t>
  </si>
  <si>
    <t>Reposisi Camera</t>
  </si>
  <si>
    <t>H. Jani</t>
  </si>
  <si>
    <t>Perbaikan CCTV Tambang Jaro</t>
  </si>
  <si>
    <t>SDN Lukbayur</t>
  </si>
  <si>
    <t>Penambahan 2 PT Hikvision</t>
  </si>
  <si>
    <t>Pengadaan Ruijie Dan Mikrotik</t>
  </si>
  <si>
    <t>Imam Happy</t>
  </si>
  <si>
    <t>Reposisi, Dan Setting Ulang Ezviz</t>
  </si>
  <si>
    <t>DIBAYAR</t>
  </si>
  <si>
    <t>Pasang Extender HDMI</t>
  </si>
  <si>
    <t>Arkha Collention</t>
  </si>
  <si>
    <t>Perbaikan Komputer &amp; Perpanjang aplikasi ke toko</t>
  </si>
  <si>
    <t>30 Juli 2026</t>
  </si>
  <si>
    <t>Doni AC</t>
  </si>
  <si>
    <t>Pengambilan Camera Proview</t>
  </si>
  <si>
    <t>04 Agustus 2026</t>
  </si>
  <si>
    <t>Nfour Mart</t>
  </si>
  <si>
    <t>Pemasangan CCTV dan Komputer Kasir</t>
  </si>
  <si>
    <t>TK Muhammadiyah</t>
  </si>
  <si>
    <t>Pergantian Memori Card 32GB</t>
  </si>
  <si>
    <t>Kantor Desa Mangkusip</t>
  </si>
  <si>
    <t>05 Agustus 2026</t>
  </si>
  <si>
    <t>Isar</t>
  </si>
  <si>
    <t>Ezviz H8C</t>
  </si>
  <si>
    <t>Koni Tabalong</t>
  </si>
  <si>
    <t>Service AC</t>
  </si>
  <si>
    <t>Bawaslu</t>
  </si>
  <si>
    <t>Installasi CCTV</t>
  </si>
  <si>
    <t>Ezviz H6C</t>
  </si>
  <si>
    <t>Janu Aresha</t>
  </si>
  <si>
    <t>Paket Ezviz H6C</t>
  </si>
  <si>
    <t>Sudarsono</t>
  </si>
  <si>
    <t>Dillah TKJ</t>
  </si>
  <si>
    <t>Pemasangan CCTV Dishub Dan SD Muhammadiyah</t>
  </si>
  <si>
    <t>Dinas Sosial</t>
  </si>
  <si>
    <t>Perbaikan Laptop Printer Dan UPS</t>
  </si>
  <si>
    <t>Inspektorat</t>
  </si>
  <si>
    <t>Pemasangan AP Ruijie</t>
  </si>
  <si>
    <t>Gudang Aset Pendopo</t>
  </si>
  <si>
    <t>Karaoke Marmus</t>
  </si>
  <si>
    <t>Riska (Permata baru)</t>
  </si>
  <si>
    <t>Pasang dan Setting CCTV</t>
  </si>
  <si>
    <t>Denso</t>
  </si>
  <si>
    <t>H. Adil</t>
  </si>
  <si>
    <t>Perbaikan Listrik</t>
  </si>
  <si>
    <t>MBG Plamboyan</t>
  </si>
  <si>
    <t>SDN Pembataan 1</t>
  </si>
  <si>
    <t>Bos Oyong Keloa</t>
  </si>
  <si>
    <t>Pasang CCTV 2 Camera</t>
  </si>
  <si>
    <t xml:space="preserve">   </t>
  </si>
  <si>
    <t>Zosef Taufan</t>
  </si>
  <si>
    <t>Paket 4 Kamera Hilook Standart</t>
  </si>
  <si>
    <t>Happy mart</t>
  </si>
  <si>
    <t>TK Al Umm</t>
  </si>
  <si>
    <t>Pemasangan Kamera Ezviz dan AP Foredge</t>
  </si>
  <si>
    <t>Service AC dan Service Printer</t>
  </si>
  <si>
    <t>Pamarangan</t>
  </si>
  <si>
    <t>Pemasangan CCTV</t>
  </si>
  <si>
    <t>Hj Ami</t>
  </si>
  <si>
    <t>Dealer Yamaha Mabuun</t>
  </si>
  <si>
    <t xml:space="preserve">H Surian </t>
  </si>
  <si>
    <t>H Uri</t>
  </si>
  <si>
    <t>Devi Kosmetik</t>
  </si>
  <si>
    <t>Pindah Pasang Ezviz</t>
  </si>
  <si>
    <t>Kambitin Raya</t>
  </si>
  <si>
    <t>Setting Ulang Ezviz</t>
  </si>
  <si>
    <t>Hanafi</t>
  </si>
  <si>
    <t>Rufi</t>
  </si>
  <si>
    <t>H Adil</t>
  </si>
  <si>
    <t>Pergantian PSU 8ch</t>
  </si>
  <si>
    <t xml:space="preserve">Pa Awiek </t>
  </si>
  <si>
    <t>Perbaikan CCTV dan Harddisk External baru</t>
  </si>
  <si>
    <t>G.H. Safira</t>
  </si>
  <si>
    <t>NSS</t>
  </si>
  <si>
    <t>Perbaikan Komputer</t>
  </si>
  <si>
    <t>6 Agustus 2026</t>
  </si>
  <si>
    <t>Pa Dosen</t>
  </si>
  <si>
    <t>Service Cuci AC</t>
  </si>
  <si>
    <t>7 Agustus 2026</t>
  </si>
  <si>
    <t>10 Agustus 2026</t>
  </si>
  <si>
    <t>11 Agustus 2026</t>
  </si>
  <si>
    <t>12 Agustus 2026</t>
  </si>
  <si>
    <t>13 Agustus 2026</t>
  </si>
  <si>
    <t>15 Agustus 2026</t>
  </si>
  <si>
    <t>18 Agustus 2026</t>
  </si>
  <si>
    <t>19 Agustus 2026</t>
  </si>
  <si>
    <t>21 Agustus 2026</t>
  </si>
  <si>
    <t>Mesjid Muhammadiyah</t>
  </si>
  <si>
    <t>22 Agustus 2026</t>
  </si>
  <si>
    <t>Mtsn 4 Tabalong</t>
  </si>
  <si>
    <t>Paket Ezviz H6C + Pasang TV</t>
  </si>
  <si>
    <t>Ocretta Coffe</t>
  </si>
  <si>
    <t>23 Agustus 2026</t>
  </si>
  <si>
    <t>Zuhri</t>
  </si>
  <si>
    <t>Paket Ezviz</t>
  </si>
  <si>
    <t>Paket Hikvision</t>
  </si>
  <si>
    <t>25 Agustus 2026</t>
  </si>
  <si>
    <t>26 Agustus 2026</t>
  </si>
  <si>
    <t>Pangkalan Agung</t>
  </si>
  <si>
    <t xml:space="preserve">H Hasan </t>
  </si>
  <si>
    <t>27 Agustus 2026</t>
  </si>
  <si>
    <t>SMA 1 Tanjung</t>
  </si>
  <si>
    <t>Pasang Kipas Celling</t>
  </si>
  <si>
    <t>H Jani</t>
  </si>
  <si>
    <t>Pasang dan Reposisi CCTV</t>
  </si>
  <si>
    <t>H Mustofa</t>
  </si>
  <si>
    <t>30 Agustus 2026</t>
  </si>
  <si>
    <t>Ibu Guru An-Nahl (Mahligai)</t>
  </si>
  <si>
    <t>Reposisi Kamera Ezviz</t>
  </si>
  <si>
    <t>Mbg Polres</t>
  </si>
  <si>
    <t>Pasang CCTV Baru</t>
  </si>
  <si>
    <t>29 Agustus 2026</t>
  </si>
  <si>
    <t>SDN 2 Agung</t>
  </si>
  <si>
    <t>Toko Azizah</t>
  </si>
  <si>
    <t>REKAP TAGIHAN PEKERJAAN</t>
  </si>
  <si>
    <t>01 September 2026</t>
  </si>
  <si>
    <t>Pemasangan Ruijie</t>
  </si>
  <si>
    <t>Harddisk 4TB</t>
  </si>
  <si>
    <t>Pengambilan Ezviz H6c Pro 2k (5 Unit)</t>
  </si>
  <si>
    <t xml:space="preserve">  </t>
  </si>
  <si>
    <t>02 September  2026</t>
  </si>
  <si>
    <t>Didi Muara Uya</t>
  </si>
  <si>
    <t>PC Kasir &amp; Starlink</t>
  </si>
  <si>
    <t xml:space="preserve">SDN Kalahang </t>
  </si>
  <si>
    <t>Paket 4 Kamera Hillok Standard</t>
  </si>
  <si>
    <t>Aufamart</t>
  </si>
  <si>
    <t>Pasang Ezviz(cahaya) &amp; Perbaikan</t>
  </si>
  <si>
    <t>SDN Maburai</t>
  </si>
  <si>
    <t>Pasang Kamera Baru 3 Unit</t>
  </si>
  <si>
    <t>04 September 2026</t>
  </si>
  <si>
    <t>SDN 2 Tanjung</t>
  </si>
  <si>
    <t>Pa Dewan ulah</t>
  </si>
  <si>
    <t>07 September 2026</t>
  </si>
  <si>
    <t>J&amp;T Cargo Sulingan</t>
  </si>
  <si>
    <t>Pasang Baru 2 Kamera</t>
  </si>
  <si>
    <t>Starlink 2 Unit</t>
  </si>
  <si>
    <t>Tanjung Putra</t>
  </si>
  <si>
    <t>Perbaikan AC,CCTV,Listrik,dll</t>
  </si>
  <si>
    <t>PT Mizan</t>
  </si>
  <si>
    <t>08 September 2026</t>
  </si>
  <si>
    <t>Ibu Nia</t>
  </si>
  <si>
    <t>1 Paket Ezviz TY1 Pro 3mp + Memori 32GB</t>
  </si>
  <si>
    <t>SSD NVME Visipro Turbo 1TB</t>
  </si>
  <si>
    <t>Ari Oche</t>
  </si>
  <si>
    <t>Instalasi Kasir,Kamera dan Jaringan</t>
  </si>
  <si>
    <t>Sekolah Alam</t>
  </si>
  <si>
    <t>Setting Ulang</t>
  </si>
  <si>
    <t>Pa Udin</t>
  </si>
  <si>
    <t>Pasang Ezviz</t>
  </si>
  <si>
    <t>09 September 2026</t>
  </si>
  <si>
    <t>PT AMP Kasiau</t>
  </si>
  <si>
    <t xml:space="preserve">Reposisi Kamera </t>
  </si>
  <si>
    <t>SDN Banua Rantau</t>
  </si>
  <si>
    <t>3 Paket Imou Ranger 2</t>
  </si>
  <si>
    <t>Pa Husein</t>
  </si>
  <si>
    <t>Flamboyan (nona hanna tasyia</t>
  </si>
  <si>
    <t>SDN Mabuun</t>
  </si>
  <si>
    <t>SPPG Sulingan</t>
  </si>
  <si>
    <t>Perpusda</t>
  </si>
  <si>
    <t>Perbaikan AC,CCTV,dll</t>
  </si>
  <si>
    <t>10 September 2026</t>
  </si>
  <si>
    <t>11 September 2026</t>
  </si>
  <si>
    <t>13 September 2026</t>
  </si>
  <si>
    <t>14 September 2026</t>
  </si>
  <si>
    <t>Lukbayur</t>
  </si>
  <si>
    <t>4 Paket Ezviz H8c 2mp dan  4mp + Material</t>
  </si>
  <si>
    <t>Setting dan Konfigurasi Ulang</t>
  </si>
  <si>
    <t>Tambah dan Reposisi Kamera</t>
  </si>
  <si>
    <t>Perbaikan,Pergantian,Reposisi Kamera dan Pasang Baru</t>
  </si>
  <si>
    <t>Perbaikan Printer</t>
  </si>
  <si>
    <t>15 September 2026</t>
  </si>
  <si>
    <t>N4 Mart</t>
  </si>
  <si>
    <t>1 Paket Imou PS8E 3mp</t>
  </si>
  <si>
    <t>21 September 2026</t>
  </si>
  <si>
    <t>MM Food Court</t>
  </si>
  <si>
    <t>Kejaksaan</t>
  </si>
  <si>
    <t>Perbaikan Kamera CCTV</t>
  </si>
  <si>
    <t>Perbaikan Laptop</t>
  </si>
  <si>
    <t>Habibi</t>
  </si>
  <si>
    <t>22 September 2026</t>
  </si>
  <si>
    <t xml:space="preserve">Camelia </t>
  </si>
  <si>
    <t>Tambah Kamera</t>
  </si>
  <si>
    <t>Perkim</t>
  </si>
  <si>
    <t>Perbaikan Kamera</t>
  </si>
  <si>
    <t>Pasang Lampu Strip</t>
  </si>
  <si>
    <t>Kambitin (Mba Dewi)</t>
  </si>
  <si>
    <t>Paket 4 Kamera Proview</t>
  </si>
  <si>
    <t>Klinik Olive</t>
  </si>
  <si>
    <t>Acha mart</t>
  </si>
  <si>
    <t>Service AC dan Pasang Rak</t>
  </si>
  <si>
    <t>Adaptor 12V 5A</t>
  </si>
  <si>
    <t>23 September 2026</t>
  </si>
  <si>
    <t>24 September 2026</t>
  </si>
  <si>
    <t>Pemasangan TV Polytron</t>
  </si>
  <si>
    <t>Pa Remon</t>
  </si>
  <si>
    <t>Pemasangan Speaker</t>
  </si>
  <si>
    <t>Paket Ezviz TY1 Pro</t>
  </si>
  <si>
    <t xml:space="preserve">Gumuk </t>
  </si>
  <si>
    <t>Pengambilan Barang Dvr,Psu dan Harddisk</t>
  </si>
  <si>
    <t>Pengambilan Ezviz H8c 2mp dan Poe splitter (12 pcs)</t>
  </si>
  <si>
    <t>01 Oktober 2026</t>
  </si>
  <si>
    <t>Tambah Kamera baru 6 Unit</t>
  </si>
  <si>
    <t>SDN 2 Mabuun</t>
  </si>
  <si>
    <t xml:space="preserve">Tambah CCTV Baru </t>
  </si>
  <si>
    <t>H Surian</t>
  </si>
  <si>
    <t>Perbaikan CCTV (Kamera mati)</t>
  </si>
  <si>
    <t>Sinar Tani</t>
  </si>
  <si>
    <t>CCTV Offline</t>
  </si>
  <si>
    <t>30 September 2026</t>
  </si>
  <si>
    <t>28 September 2026</t>
  </si>
  <si>
    <t>29 September 2026</t>
  </si>
  <si>
    <t>03 Oktober 2026</t>
  </si>
  <si>
    <t>PMI</t>
  </si>
  <si>
    <t>Perbaikan CCTV (mati 3 kamera)</t>
  </si>
  <si>
    <t>Kamera Buram dan Tarik Kabel LAN</t>
  </si>
  <si>
    <t>Ading H Jani</t>
  </si>
  <si>
    <t>2 Paket Ezviz dan Perbaikan CCTV Lama</t>
  </si>
  <si>
    <t>SLP Batu Kajang</t>
  </si>
  <si>
    <t>Pemasangan CCTV 16 Kamera</t>
  </si>
  <si>
    <t>Perbaikan Kabel Lan yang Putus</t>
  </si>
  <si>
    <t>Bapak Cepot</t>
  </si>
  <si>
    <t>05 Oktober 2026</t>
  </si>
  <si>
    <t>Sei Pimping</t>
  </si>
  <si>
    <t>1 Paket Kamera ezviz H8c 2mp</t>
  </si>
  <si>
    <t>Perbaikan CCTV dan Service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</si>
</sst>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charset val="1"/>
      <scheme val="minor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0" xfId="0" applyNumberFormat="1" applyFont="1"/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5" fillId="5" borderId="1" xfId="0" applyFont="1" applyFill="1" applyBorder="1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84B-2C7E-47E2-A46B-99BF2D9CC958}">
  <dimension ref="B2:Q60"/>
  <sheetViews>
    <sheetView showGridLines="0" zoomScale="82" zoomScaleNormal="82" workbookViewId="0">
      <selection activeCell="I9" sqref="I9"/>
    </sheetView>
  </sheetViews>
  <sheetFormatPr defaultColWidth="9.140625" defaultRowHeight="15" x14ac:dyDescent="0.25"/>
  <cols>
    <col min="1" max="1" width="9.140625" style="1"/>
    <col min="2" max="2" width="4.5703125" style="14" customWidth="1"/>
    <col min="3" max="3" width="17" style="2" customWidth="1"/>
    <col min="4" max="4" width="39.7109375" style="2" customWidth="1"/>
    <col min="5" max="5" width="35.5703125" style="1" customWidth="1"/>
    <col min="6" max="6" width="74.7109375" style="1" customWidth="1"/>
    <col min="7" max="7" width="27.42578125" style="3" customWidth="1"/>
    <col min="8" max="9" width="22" style="1" customWidth="1"/>
    <col min="10" max="10" width="51.42578125" style="1" customWidth="1"/>
    <col min="11" max="11" width="9.140625" style="1"/>
    <col min="12" max="12" width="3.5703125" style="1" customWidth="1"/>
    <col min="13" max="13" width="17.5703125" style="1" customWidth="1"/>
    <col min="14" max="14" width="1.42578125" style="1" customWidth="1"/>
    <col min="15" max="17" width="9.140625" style="1"/>
    <col min="18" max="18" width="3.5703125" style="1" customWidth="1"/>
    <col min="19" max="16384" width="9.140625" style="1"/>
  </cols>
  <sheetData>
    <row r="2" spans="2:17" ht="22.5" x14ac:dyDescent="0.25">
      <c r="B2" s="24" t="s">
        <v>208</v>
      </c>
      <c r="C2" s="24"/>
      <c r="D2" s="24"/>
      <c r="E2" s="24"/>
      <c r="F2" s="24"/>
      <c r="G2" s="24"/>
      <c r="H2" s="24"/>
      <c r="I2" s="24"/>
      <c r="J2" s="24"/>
    </row>
    <row r="4" spans="2:17" s="12" customFormat="1" ht="27.75" customHeight="1" x14ac:dyDescent="0.25">
      <c r="B4" s="8" t="s">
        <v>0</v>
      </c>
      <c r="C4" s="9" t="s">
        <v>1</v>
      </c>
      <c r="D4" s="10" t="s">
        <v>9</v>
      </c>
      <c r="E4" s="8" t="s">
        <v>2</v>
      </c>
      <c r="F4" s="8" t="s">
        <v>3</v>
      </c>
      <c r="G4" s="11" t="s">
        <v>4</v>
      </c>
      <c r="H4" s="8" t="s">
        <v>13</v>
      </c>
      <c r="I4" s="8" t="s">
        <v>11</v>
      </c>
      <c r="J4" s="8" t="s">
        <v>6</v>
      </c>
      <c r="L4" s="13"/>
      <c r="M4" s="23" t="s">
        <v>7</v>
      </c>
      <c r="N4" s="23"/>
      <c r="O4" s="23"/>
      <c r="P4" s="23"/>
      <c r="Q4" s="23"/>
    </row>
    <row r="5" spans="2:17" x14ac:dyDescent="0.25">
      <c r="B5" s="15">
        <v>1</v>
      </c>
      <c r="C5" s="5" t="s">
        <v>16</v>
      </c>
      <c r="D5" s="5" t="s">
        <v>35</v>
      </c>
      <c r="E5" s="4" t="s">
        <v>18</v>
      </c>
      <c r="F5" s="4" t="s">
        <v>19</v>
      </c>
      <c r="G5" s="6">
        <v>15000000</v>
      </c>
      <c r="H5" s="4" t="s">
        <v>12</v>
      </c>
      <c r="I5" s="4"/>
      <c r="J5" s="4" t="s">
        <v>23</v>
      </c>
      <c r="L5" s="7"/>
      <c r="M5" s="7" t="s">
        <v>9</v>
      </c>
      <c r="N5" s="7" t="s">
        <v>8</v>
      </c>
      <c r="O5" s="7" t="s">
        <v>17</v>
      </c>
      <c r="P5" s="7"/>
      <c r="Q5" s="7"/>
    </row>
    <row r="6" spans="2:17" x14ac:dyDescent="0.25">
      <c r="B6" s="15">
        <v>2</v>
      </c>
      <c r="C6" s="5" t="s">
        <v>20</v>
      </c>
      <c r="D6" s="5"/>
      <c r="E6" s="4" t="s">
        <v>18</v>
      </c>
      <c r="F6" s="4" t="s">
        <v>21</v>
      </c>
      <c r="G6" s="6">
        <v>8250000</v>
      </c>
      <c r="H6" s="4" t="s">
        <v>12</v>
      </c>
      <c r="I6" s="4"/>
      <c r="J6" s="4" t="s">
        <v>23</v>
      </c>
      <c r="L6" s="7"/>
      <c r="M6" s="7" t="s">
        <v>5</v>
      </c>
      <c r="N6" s="7" t="s">
        <v>8</v>
      </c>
      <c r="O6" s="7" t="s">
        <v>10</v>
      </c>
      <c r="P6" s="7"/>
      <c r="Q6" s="7"/>
    </row>
    <row r="7" spans="2:17" x14ac:dyDescent="0.25">
      <c r="B7" s="15">
        <v>3</v>
      </c>
      <c r="C7" s="5" t="s">
        <v>24</v>
      </c>
      <c r="D7" s="5"/>
      <c r="E7" s="4" t="s">
        <v>25</v>
      </c>
      <c r="F7" s="4" t="s">
        <v>26</v>
      </c>
      <c r="G7" s="6">
        <v>3185000</v>
      </c>
      <c r="H7" s="4" t="s">
        <v>12</v>
      </c>
      <c r="I7" s="4"/>
      <c r="J7" s="4"/>
      <c r="L7" s="7"/>
      <c r="M7" s="7" t="s">
        <v>14</v>
      </c>
      <c r="N7" s="7" t="s">
        <v>8</v>
      </c>
      <c r="O7" s="7" t="s">
        <v>15</v>
      </c>
      <c r="P7" s="7"/>
      <c r="Q7" s="7"/>
    </row>
    <row r="8" spans="2:17" x14ac:dyDescent="0.25">
      <c r="B8" s="15">
        <v>4</v>
      </c>
      <c r="C8" s="5" t="s">
        <v>27</v>
      </c>
      <c r="D8" s="5"/>
      <c r="E8" s="4" t="s">
        <v>28</v>
      </c>
      <c r="F8" s="4" t="s">
        <v>29</v>
      </c>
      <c r="G8" s="6">
        <v>7501000</v>
      </c>
      <c r="H8" s="4" t="s">
        <v>22</v>
      </c>
      <c r="I8" s="4"/>
      <c r="J8" s="4"/>
      <c r="L8" s="7"/>
      <c r="M8" s="7"/>
      <c r="N8" s="7"/>
      <c r="O8" s="7"/>
      <c r="P8" s="7"/>
      <c r="Q8" s="7"/>
    </row>
    <row r="9" spans="2:17" x14ac:dyDescent="0.25">
      <c r="B9" s="15">
        <v>5</v>
      </c>
      <c r="C9" s="5" t="s">
        <v>27</v>
      </c>
      <c r="D9" s="5"/>
      <c r="E9" s="4" t="s">
        <v>30</v>
      </c>
      <c r="F9" s="4" t="s">
        <v>29</v>
      </c>
      <c r="G9" s="6">
        <v>9790000</v>
      </c>
      <c r="H9" s="4" t="s">
        <v>22</v>
      </c>
      <c r="I9" s="4"/>
      <c r="J9" s="4"/>
    </row>
    <row r="10" spans="2:17" x14ac:dyDescent="0.25">
      <c r="B10" s="15">
        <v>6</v>
      </c>
      <c r="C10" s="5" t="s">
        <v>31</v>
      </c>
      <c r="D10" s="5"/>
      <c r="E10" s="4" t="s">
        <v>32</v>
      </c>
      <c r="F10" s="4" t="s">
        <v>33</v>
      </c>
      <c r="G10" s="6">
        <v>303000</v>
      </c>
      <c r="H10" s="4" t="s">
        <v>22</v>
      </c>
      <c r="I10" s="4"/>
      <c r="J10" s="4"/>
    </row>
    <row r="11" spans="2:17" x14ac:dyDescent="0.25">
      <c r="B11" s="15">
        <v>7</v>
      </c>
      <c r="C11" s="5" t="s">
        <v>31</v>
      </c>
      <c r="D11" s="5"/>
      <c r="E11" s="4" t="s">
        <v>34</v>
      </c>
      <c r="F11" s="4" t="s">
        <v>29</v>
      </c>
      <c r="G11" s="6">
        <v>250000</v>
      </c>
      <c r="H11" s="4" t="s">
        <v>22</v>
      </c>
      <c r="I11" s="4"/>
      <c r="J11" s="4"/>
    </row>
    <row r="12" spans="2:17" x14ac:dyDescent="0.25">
      <c r="B12" s="15">
        <v>8</v>
      </c>
      <c r="C12" s="5" t="s">
        <v>36</v>
      </c>
      <c r="D12" s="5"/>
      <c r="E12" s="4" t="s">
        <v>37</v>
      </c>
      <c r="F12" s="4" t="s">
        <v>38</v>
      </c>
      <c r="G12" s="6">
        <v>3892000</v>
      </c>
      <c r="H12" s="4" t="s">
        <v>102</v>
      </c>
      <c r="I12" s="4"/>
      <c r="J12" s="4"/>
    </row>
    <row r="13" spans="2:17" x14ac:dyDescent="0.25">
      <c r="B13" s="15">
        <v>9</v>
      </c>
      <c r="C13" s="5" t="s">
        <v>27</v>
      </c>
      <c r="D13" s="5"/>
      <c r="E13" s="4" t="s">
        <v>39</v>
      </c>
      <c r="F13" s="4" t="s">
        <v>40</v>
      </c>
      <c r="G13" s="6">
        <v>800000</v>
      </c>
      <c r="H13" s="4" t="s">
        <v>22</v>
      </c>
      <c r="I13" s="4"/>
      <c r="J13" s="4"/>
    </row>
    <row r="14" spans="2:17" x14ac:dyDescent="0.25">
      <c r="B14" s="15">
        <v>10</v>
      </c>
      <c r="C14" s="5" t="s">
        <v>41</v>
      </c>
      <c r="D14" s="5"/>
      <c r="E14" s="4" t="s">
        <v>42</v>
      </c>
      <c r="F14" s="4" t="s">
        <v>43</v>
      </c>
      <c r="G14" s="6">
        <v>1792000</v>
      </c>
      <c r="H14" s="4" t="s">
        <v>12</v>
      </c>
      <c r="I14" s="4"/>
      <c r="J14" s="4"/>
    </row>
    <row r="15" spans="2:17" x14ac:dyDescent="0.25">
      <c r="B15" s="15">
        <v>11</v>
      </c>
      <c r="C15" s="5" t="s">
        <v>44</v>
      </c>
      <c r="D15" s="5"/>
      <c r="E15" s="4" t="s">
        <v>45</v>
      </c>
      <c r="F15" s="4" t="s">
        <v>29</v>
      </c>
      <c r="G15" s="6">
        <v>540000</v>
      </c>
      <c r="H15" s="4" t="s">
        <v>12</v>
      </c>
      <c r="I15" s="4"/>
      <c r="J15" s="4"/>
    </row>
    <row r="16" spans="2:17" x14ac:dyDescent="0.25">
      <c r="B16" s="15">
        <v>12</v>
      </c>
      <c r="C16" s="5" t="s">
        <v>44</v>
      </c>
      <c r="D16" s="5"/>
      <c r="E16" s="4" t="s">
        <v>30</v>
      </c>
      <c r="F16" s="4" t="s">
        <v>46</v>
      </c>
      <c r="G16" s="6">
        <v>200000</v>
      </c>
      <c r="H16" s="4" t="s">
        <v>12</v>
      </c>
      <c r="I16" s="4"/>
      <c r="J16" s="4"/>
    </row>
    <row r="17" spans="2:10" x14ac:dyDescent="0.25">
      <c r="B17" s="15">
        <v>13</v>
      </c>
      <c r="C17" s="5" t="s">
        <v>47</v>
      </c>
      <c r="D17" s="5"/>
      <c r="E17" s="4" t="s">
        <v>48</v>
      </c>
      <c r="F17" s="4" t="s">
        <v>49</v>
      </c>
      <c r="G17" s="6">
        <v>6501000</v>
      </c>
      <c r="H17" s="4" t="s">
        <v>22</v>
      </c>
      <c r="I17" s="4"/>
      <c r="J17" s="4"/>
    </row>
    <row r="18" spans="2:10" x14ac:dyDescent="0.25">
      <c r="B18" s="15">
        <v>14</v>
      </c>
      <c r="C18" s="5" t="s">
        <v>44</v>
      </c>
      <c r="D18" s="5"/>
      <c r="E18" s="4" t="s">
        <v>50</v>
      </c>
      <c r="F18" s="4" t="s">
        <v>29</v>
      </c>
      <c r="G18" s="6">
        <v>550000</v>
      </c>
      <c r="H18" s="4" t="s">
        <v>12</v>
      </c>
      <c r="I18" s="4"/>
      <c r="J18" s="4"/>
    </row>
    <row r="19" spans="2:10" x14ac:dyDescent="0.25">
      <c r="B19" s="15">
        <v>15</v>
      </c>
      <c r="C19" s="5" t="s">
        <v>44</v>
      </c>
      <c r="D19" s="5"/>
      <c r="E19" s="4" t="s">
        <v>50</v>
      </c>
      <c r="F19" s="4" t="s">
        <v>51</v>
      </c>
      <c r="G19" s="6">
        <v>400000</v>
      </c>
      <c r="H19" s="4" t="s">
        <v>12</v>
      </c>
      <c r="I19" s="4"/>
      <c r="J19" s="4"/>
    </row>
    <row r="20" spans="2:10" x14ac:dyDescent="0.25">
      <c r="B20" s="15">
        <v>16</v>
      </c>
      <c r="C20" s="5" t="s">
        <v>44</v>
      </c>
      <c r="D20" s="5"/>
      <c r="E20" s="4" t="s">
        <v>52</v>
      </c>
      <c r="F20" s="4" t="s">
        <v>29</v>
      </c>
      <c r="G20" s="6">
        <v>645000</v>
      </c>
      <c r="H20" s="4" t="s">
        <v>12</v>
      </c>
      <c r="I20" s="4"/>
      <c r="J20" s="4"/>
    </row>
    <row r="21" spans="2:10" x14ac:dyDescent="0.25">
      <c r="B21" s="15">
        <v>17</v>
      </c>
      <c r="C21" s="5" t="s">
        <v>44</v>
      </c>
      <c r="D21" s="5"/>
      <c r="E21" s="4" t="s">
        <v>143</v>
      </c>
      <c r="F21" s="4" t="s">
        <v>53</v>
      </c>
      <c r="G21" s="6">
        <v>235000</v>
      </c>
      <c r="H21" s="4" t="s">
        <v>22</v>
      </c>
      <c r="I21" s="4"/>
      <c r="J21" s="4"/>
    </row>
    <row r="22" spans="2:10" x14ac:dyDescent="0.25">
      <c r="B22" s="15">
        <v>18</v>
      </c>
      <c r="C22" s="5" t="s">
        <v>54</v>
      </c>
      <c r="D22" s="5"/>
      <c r="E22" s="4" t="s">
        <v>55</v>
      </c>
      <c r="F22" s="4" t="s">
        <v>56</v>
      </c>
      <c r="G22" s="6">
        <v>3045000</v>
      </c>
      <c r="H22" s="4" t="s">
        <v>22</v>
      </c>
      <c r="I22" s="4"/>
      <c r="J22" s="4"/>
    </row>
    <row r="23" spans="2:10" x14ac:dyDescent="0.25">
      <c r="B23" s="15">
        <v>19</v>
      </c>
      <c r="C23" s="5" t="s">
        <v>44</v>
      </c>
      <c r="D23" s="5"/>
      <c r="E23" s="4" t="s">
        <v>57</v>
      </c>
      <c r="F23" s="4" t="s">
        <v>29</v>
      </c>
      <c r="G23" s="6">
        <v>312000</v>
      </c>
      <c r="H23" s="4" t="s">
        <v>12</v>
      </c>
      <c r="I23" s="4"/>
      <c r="J23" s="4"/>
    </row>
    <row r="24" spans="2:10" x14ac:dyDescent="0.25">
      <c r="B24" s="15"/>
      <c r="C24" s="5"/>
      <c r="D24" s="5"/>
      <c r="E24" s="4"/>
      <c r="F24" s="4"/>
      <c r="G24" s="6"/>
      <c r="H24" s="4"/>
      <c r="I24" s="4"/>
      <c r="J24" s="4"/>
    </row>
    <row r="25" spans="2:10" x14ac:dyDescent="0.25">
      <c r="B25" s="15">
        <v>21</v>
      </c>
      <c r="C25" s="5" t="s">
        <v>73</v>
      </c>
      <c r="D25" s="5"/>
      <c r="E25" s="4" t="s">
        <v>58</v>
      </c>
      <c r="F25" s="4" t="s">
        <v>59</v>
      </c>
      <c r="G25" s="6">
        <v>3150000</v>
      </c>
      <c r="H25" s="4" t="s">
        <v>12</v>
      </c>
      <c r="I25" s="4"/>
      <c r="J25" s="4"/>
    </row>
    <row r="26" spans="2:10" x14ac:dyDescent="0.25">
      <c r="B26" s="15">
        <v>22</v>
      </c>
      <c r="C26" s="5" t="s">
        <v>60</v>
      </c>
      <c r="D26" s="5"/>
      <c r="E26" s="4" t="s">
        <v>61</v>
      </c>
      <c r="F26" s="4" t="s">
        <v>62</v>
      </c>
      <c r="G26" s="6">
        <v>215000</v>
      </c>
      <c r="H26" s="4" t="s">
        <v>12</v>
      </c>
      <c r="I26" s="4"/>
      <c r="J26" s="4"/>
    </row>
    <row r="27" spans="2:10" x14ac:dyDescent="0.25">
      <c r="B27" s="15">
        <v>23</v>
      </c>
      <c r="C27" s="5" t="s">
        <v>44</v>
      </c>
      <c r="D27" s="5"/>
      <c r="E27" s="4" t="s">
        <v>63</v>
      </c>
      <c r="F27" s="4" t="s">
        <v>64</v>
      </c>
      <c r="G27" s="6">
        <v>275000</v>
      </c>
      <c r="H27" s="4" t="s">
        <v>102</v>
      </c>
      <c r="I27" s="4"/>
      <c r="J27" s="4"/>
    </row>
    <row r="28" spans="2:10" x14ac:dyDescent="0.25">
      <c r="B28" s="15">
        <v>24</v>
      </c>
      <c r="C28" s="5" t="s">
        <v>47</v>
      </c>
      <c r="D28" s="5"/>
      <c r="E28" s="4" t="s">
        <v>57</v>
      </c>
      <c r="F28" s="4" t="s">
        <v>29</v>
      </c>
      <c r="G28" s="6">
        <v>2605000</v>
      </c>
      <c r="H28" s="4" t="s">
        <v>12</v>
      </c>
      <c r="I28" s="4"/>
      <c r="J28" s="4"/>
    </row>
    <row r="29" spans="2:10" x14ac:dyDescent="0.25">
      <c r="B29" s="15">
        <v>25</v>
      </c>
      <c r="C29" s="5" t="s">
        <v>65</v>
      </c>
      <c r="D29" s="5"/>
      <c r="E29" s="4" t="s">
        <v>66</v>
      </c>
      <c r="F29" s="4" t="s">
        <v>67</v>
      </c>
      <c r="G29" s="6">
        <v>8289000</v>
      </c>
      <c r="H29" s="4" t="s">
        <v>12</v>
      </c>
      <c r="I29" s="4"/>
      <c r="J29" s="4"/>
    </row>
    <row r="30" spans="2:10" x14ac:dyDescent="0.25">
      <c r="B30" s="15">
        <v>26</v>
      </c>
      <c r="C30" s="5" t="s">
        <v>68</v>
      </c>
      <c r="D30" s="5"/>
      <c r="E30" s="4" t="s">
        <v>42</v>
      </c>
      <c r="F30" s="4" t="s">
        <v>69</v>
      </c>
      <c r="G30" s="6">
        <v>1550000</v>
      </c>
      <c r="H30" s="4" t="s">
        <v>12</v>
      </c>
      <c r="I30" s="4"/>
      <c r="J30" s="4"/>
    </row>
    <row r="31" spans="2:10" x14ac:dyDescent="0.25">
      <c r="B31" s="15">
        <v>27</v>
      </c>
      <c r="C31" s="5" t="s">
        <v>68</v>
      </c>
      <c r="D31" s="5"/>
      <c r="E31" s="4" t="s">
        <v>70</v>
      </c>
      <c r="F31" s="4" t="s">
        <v>71</v>
      </c>
      <c r="G31" s="6">
        <v>24540000</v>
      </c>
      <c r="H31" s="4" t="s">
        <v>12</v>
      </c>
      <c r="I31" s="4"/>
      <c r="J31" s="4"/>
    </row>
    <row r="32" spans="2:10" x14ac:dyDescent="0.25">
      <c r="B32" s="15">
        <v>28</v>
      </c>
      <c r="C32" s="5" t="s">
        <v>68</v>
      </c>
      <c r="D32" s="5"/>
      <c r="E32" s="4" t="s">
        <v>42</v>
      </c>
      <c r="F32" s="4" t="s">
        <v>72</v>
      </c>
      <c r="G32" s="6">
        <v>1277000</v>
      </c>
      <c r="H32" s="4" t="s">
        <v>12</v>
      </c>
      <c r="I32" s="4"/>
      <c r="J32" s="4"/>
    </row>
    <row r="33" spans="2:10" x14ac:dyDescent="0.25">
      <c r="B33" s="15"/>
      <c r="C33" s="5"/>
      <c r="D33" s="5"/>
      <c r="E33" s="4"/>
      <c r="F33" s="4"/>
      <c r="G33" s="6"/>
      <c r="H33" s="4"/>
      <c r="I33" s="4"/>
      <c r="J33" s="4"/>
    </row>
    <row r="34" spans="2:10" x14ac:dyDescent="0.25">
      <c r="B34" s="15">
        <v>30</v>
      </c>
      <c r="C34" s="5" t="s">
        <v>74</v>
      </c>
      <c r="D34" s="5"/>
      <c r="E34" s="4" t="s">
        <v>42</v>
      </c>
      <c r="F34" s="4" t="s">
        <v>75</v>
      </c>
      <c r="G34" s="6">
        <v>2425000</v>
      </c>
      <c r="H34" s="4" t="s">
        <v>12</v>
      </c>
      <c r="I34" s="4"/>
      <c r="J34" s="4"/>
    </row>
    <row r="35" spans="2:10" x14ac:dyDescent="0.25">
      <c r="B35" s="15">
        <v>31</v>
      </c>
      <c r="C35" s="5"/>
      <c r="D35" s="5"/>
      <c r="E35" s="4" t="s">
        <v>42</v>
      </c>
      <c r="F35" s="4" t="s">
        <v>76</v>
      </c>
      <c r="G35" s="6"/>
      <c r="H35" s="4"/>
      <c r="I35" s="4"/>
      <c r="J35" s="4"/>
    </row>
    <row r="36" spans="2:10" x14ac:dyDescent="0.25">
      <c r="B36" s="15">
        <v>32</v>
      </c>
      <c r="C36" s="5" t="s">
        <v>77</v>
      </c>
      <c r="D36" s="5"/>
      <c r="E36" s="4" t="s">
        <v>78</v>
      </c>
      <c r="F36" s="4" t="s">
        <v>79</v>
      </c>
      <c r="G36" s="6">
        <v>728000</v>
      </c>
      <c r="H36" s="4" t="s">
        <v>12</v>
      </c>
      <c r="I36" s="4"/>
      <c r="J36" s="4"/>
    </row>
    <row r="37" spans="2:10" x14ac:dyDescent="0.25">
      <c r="B37" s="15"/>
      <c r="C37" s="5"/>
      <c r="D37" s="5"/>
      <c r="E37" s="4"/>
      <c r="F37" s="4"/>
      <c r="G37" s="6"/>
      <c r="H37" s="4"/>
      <c r="I37" s="4"/>
      <c r="J37" s="4"/>
    </row>
    <row r="38" spans="2:10" x14ac:dyDescent="0.25">
      <c r="B38" s="15">
        <v>34</v>
      </c>
      <c r="C38" s="5" t="s">
        <v>80</v>
      </c>
      <c r="D38" s="5"/>
      <c r="E38" s="4" t="s">
        <v>81</v>
      </c>
      <c r="F38" s="4" t="s">
        <v>82</v>
      </c>
      <c r="G38" s="6">
        <v>850000</v>
      </c>
      <c r="H38" s="4" t="s">
        <v>12</v>
      </c>
      <c r="I38" s="4"/>
      <c r="J38" s="4"/>
    </row>
    <row r="39" spans="2:10" x14ac:dyDescent="0.25">
      <c r="B39" s="15">
        <v>35</v>
      </c>
      <c r="C39" s="5" t="s">
        <v>80</v>
      </c>
      <c r="D39" s="5"/>
      <c r="E39" s="4" t="s">
        <v>83</v>
      </c>
      <c r="F39" s="4" t="s">
        <v>82</v>
      </c>
      <c r="G39" s="6">
        <v>850000</v>
      </c>
      <c r="H39" s="4" t="s">
        <v>12</v>
      </c>
      <c r="I39" s="4"/>
      <c r="J39" s="4"/>
    </row>
    <row r="40" spans="2:10" x14ac:dyDescent="0.25">
      <c r="B40" s="15">
        <v>36</v>
      </c>
      <c r="C40" s="5" t="s">
        <v>80</v>
      </c>
      <c r="D40" s="5"/>
      <c r="E40" s="4" t="s">
        <v>84</v>
      </c>
      <c r="F40" s="4" t="s">
        <v>85</v>
      </c>
      <c r="G40" s="6">
        <v>100000</v>
      </c>
      <c r="H40" s="4" t="s">
        <v>12</v>
      </c>
      <c r="I40" s="4"/>
      <c r="J40" s="4"/>
    </row>
    <row r="41" spans="2:10" x14ac:dyDescent="0.25">
      <c r="B41" s="15">
        <v>37</v>
      </c>
      <c r="C41" s="5" t="s">
        <v>80</v>
      </c>
      <c r="D41" s="5"/>
      <c r="E41" s="4" t="s">
        <v>86</v>
      </c>
      <c r="F41" s="4" t="s">
        <v>29</v>
      </c>
      <c r="G41" s="6">
        <v>320000</v>
      </c>
      <c r="H41" s="4" t="s">
        <v>12</v>
      </c>
      <c r="I41" s="4"/>
      <c r="J41" s="4"/>
    </row>
    <row r="42" spans="2:10" x14ac:dyDescent="0.25">
      <c r="B42" s="15">
        <v>38</v>
      </c>
      <c r="C42" s="5" t="s">
        <v>87</v>
      </c>
      <c r="D42" s="5"/>
      <c r="E42" s="4" t="s">
        <v>88</v>
      </c>
      <c r="F42" s="4" t="s">
        <v>29</v>
      </c>
      <c r="G42" s="6">
        <v>150000</v>
      </c>
      <c r="H42" s="4" t="s">
        <v>102</v>
      </c>
      <c r="I42" s="4"/>
      <c r="J42" s="4"/>
    </row>
    <row r="43" spans="2:10" x14ac:dyDescent="0.25">
      <c r="B43" s="15">
        <v>39</v>
      </c>
      <c r="C43" s="5" t="s">
        <v>87</v>
      </c>
      <c r="D43" s="5"/>
      <c r="E43" s="4" t="s">
        <v>89</v>
      </c>
      <c r="F43" s="4" t="s">
        <v>90</v>
      </c>
      <c r="G43" s="6">
        <v>400000</v>
      </c>
      <c r="H43" s="4" t="s">
        <v>22</v>
      </c>
      <c r="I43" s="4"/>
      <c r="J43" s="4"/>
    </row>
    <row r="44" spans="2:10" x14ac:dyDescent="0.25">
      <c r="B44" s="15">
        <v>40</v>
      </c>
      <c r="C44" s="5" t="s">
        <v>87</v>
      </c>
      <c r="D44" s="5"/>
      <c r="E44" s="4" t="s">
        <v>91</v>
      </c>
      <c r="F44" s="4" t="s">
        <v>29</v>
      </c>
      <c r="G44" s="6">
        <v>1654000</v>
      </c>
      <c r="H44" s="4" t="s">
        <v>22</v>
      </c>
      <c r="I44" s="4"/>
      <c r="J44" s="4"/>
    </row>
    <row r="45" spans="2:10" x14ac:dyDescent="0.25">
      <c r="B45" s="15">
        <v>41</v>
      </c>
      <c r="C45" s="5" t="s">
        <v>87</v>
      </c>
      <c r="D45" s="5"/>
      <c r="E45" s="4" t="s">
        <v>92</v>
      </c>
      <c r="F45" s="4" t="s">
        <v>29</v>
      </c>
      <c r="G45" s="6">
        <v>225000</v>
      </c>
      <c r="H45" s="4" t="s">
        <v>22</v>
      </c>
      <c r="I45" s="4"/>
      <c r="J45" s="4"/>
    </row>
    <row r="46" spans="2:10" x14ac:dyDescent="0.25">
      <c r="B46" s="15">
        <v>42</v>
      </c>
      <c r="C46" s="5" t="s">
        <v>87</v>
      </c>
      <c r="D46" s="5"/>
      <c r="E46" s="4" t="s">
        <v>93</v>
      </c>
      <c r="F46" s="4" t="s">
        <v>94</v>
      </c>
      <c r="G46" s="6">
        <v>375000</v>
      </c>
      <c r="H46" s="4" t="s">
        <v>102</v>
      </c>
      <c r="I46" s="4"/>
      <c r="J46" s="4"/>
    </row>
    <row r="47" spans="2:10" x14ac:dyDescent="0.25">
      <c r="B47" s="15">
        <v>42</v>
      </c>
      <c r="C47" s="5" t="s">
        <v>87</v>
      </c>
      <c r="D47" s="5"/>
      <c r="E47" s="4" t="s">
        <v>95</v>
      </c>
      <c r="F47" s="4" t="s">
        <v>96</v>
      </c>
      <c r="G47" s="6">
        <v>550000</v>
      </c>
      <c r="H47" s="4" t="s">
        <v>22</v>
      </c>
      <c r="I47" s="4"/>
      <c r="J47" s="4"/>
    </row>
    <row r="48" spans="2:10" x14ac:dyDescent="0.25">
      <c r="B48" s="15">
        <v>43</v>
      </c>
      <c r="C48" s="5" t="s">
        <v>87</v>
      </c>
      <c r="D48" s="5"/>
      <c r="E48" s="4" t="s">
        <v>97</v>
      </c>
      <c r="F48" s="4" t="s">
        <v>98</v>
      </c>
      <c r="G48" s="6">
        <v>2605000</v>
      </c>
      <c r="H48" s="4" t="s">
        <v>22</v>
      </c>
      <c r="I48" s="4"/>
      <c r="J48" s="4"/>
    </row>
    <row r="49" spans="2:10" x14ac:dyDescent="0.25">
      <c r="B49" s="15">
        <v>44</v>
      </c>
      <c r="C49" s="5" t="s">
        <v>87</v>
      </c>
      <c r="D49" s="5"/>
      <c r="E49" s="4" t="s">
        <v>18</v>
      </c>
      <c r="F49" s="4" t="s">
        <v>99</v>
      </c>
      <c r="G49" s="6">
        <v>36000000</v>
      </c>
      <c r="H49" s="4" t="s">
        <v>12</v>
      </c>
      <c r="I49" s="4"/>
      <c r="J49" s="4"/>
    </row>
    <row r="50" spans="2:10" x14ac:dyDescent="0.25">
      <c r="B50" s="15">
        <v>45</v>
      </c>
      <c r="C50" s="5" t="s">
        <v>87</v>
      </c>
      <c r="D50" s="5"/>
      <c r="E50" s="4" t="s">
        <v>100</v>
      </c>
      <c r="F50" s="4" t="s">
        <v>101</v>
      </c>
      <c r="G50" s="6">
        <v>150000</v>
      </c>
      <c r="H50" s="4" t="s">
        <v>12</v>
      </c>
      <c r="I50" s="4"/>
      <c r="J50" s="4"/>
    </row>
    <row r="51" spans="2:10" x14ac:dyDescent="0.25">
      <c r="B51" s="15">
        <v>46</v>
      </c>
      <c r="C51" s="5" t="s">
        <v>87</v>
      </c>
      <c r="D51" s="5"/>
      <c r="E51" s="4" t="s">
        <v>28</v>
      </c>
      <c r="F51" s="4" t="s">
        <v>103</v>
      </c>
      <c r="G51" s="6">
        <v>10600000</v>
      </c>
      <c r="H51" s="4" t="s">
        <v>22</v>
      </c>
      <c r="I51" s="4"/>
      <c r="J51" s="4"/>
    </row>
    <row r="52" spans="2:10" x14ac:dyDescent="0.25">
      <c r="B52" s="15">
        <v>47</v>
      </c>
      <c r="C52" s="5" t="s">
        <v>87</v>
      </c>
      <c r="D52" s="5"/>
      <c r="E52" s="4" t="s">
        <v>104</v>
      </c>
      <c r="F52" s="4" t="s">
        <v>105</v>
      </c>
      <c r="G52" s="6">
        <v>800000</v>
      </c>
      <c r="H52" s="4" t="s">
        <v>22</v>
      </c>
      <c r="I52" s="4"/>
      <c r="J52" s="4"/>
    </row>
    <row r="53" spans="2:10" x14ac:dyDescent="0.25">
      <c r="B53" s="15">
        <v>48</v>
      </c>
      <c r="C53" s="5" t="s">
        <v>106</v>
      </c>
      <c r="D53" s="5"/>
      <c r="E53" s="4" t="s">
        <v>107</v>
      </c>
      <c r="F53" s="4" t="s">
        <v>108</v>
      </c>
      <c r="G53" s="6">
        <v>1260000</v>
      </c>
      <c r="H53" s="4" t="s">
        <v>12</v>
      </c>
      <c r="I53" s="4"/>
      <c r="J53" s="4"/>
    </row>
    <row r="54" spans="2:10" x14ac:dyDescent="0.25">
      <c r="B54" s="15"/>
      <c r="C54" s="5"/>
      <c r="D54" s="5"/>
      <c r="E54" s="4"/>
      <c r="F54" s="4"/>
      <c r="G54" s="6"/>
      <c r="H54" s="4"/>
      <c r="I54" s="4"/>
      <c r="J54" s="4"/>
    </row>
    <row r="55" spans="2:10" x14ac:dyDescent="0.25">
      <c r="B55" s="15"/>
      <c r="C55" s="5"/>
      <c r="D55" s="5"/>
      <c r="E55" s="4"/>
      <c r="F55" s="4"/>
      <c r="G55" s="6"/>
      <c r="H55" s="4"/>
      <c r="I55" s="4"/>
      <c r="J55" s="4"/>
    </row>
    <row r="56" spans="2:10" x14ac:dyDescent="0.25">
      <c r="B56" s="15"/>
      <c r="C56" s="5"/>
      <c r="D56" s="5"/>
      <c r="E56" s="4"/>
      <c r="F56" s="4"/>
      <c r="G56" s="6"/>
      <c r="H56" s="4"/>
      <c r="I56" s="4"/>
      <c r="J56" s="4"/>
    </row>
    <row r="57" spans="2:10" x14ac:dyDescent="0.25">
      <c r="B57" s="15"/>
      <c r="C57" s="5"/>
      <c r="D57" s="5"/>
      <c r="E57" s="4"/>
      <c r="F57" s="4"/>
      <c r="G57" s="6"/>
      <c r="H57" s="4"/>
      <c r="I57" s="4"/>
      <c r="J57" s="4"/>
    </row>
    <row r="58" spans="2:10" x14ac:dyDescent="0.25">
      <c r="B58" s="15"/>
      <c r="C58" s="5"/>
      <c r="D58" s="5"/>
      <c r="E58" s="4"/>
      <c r="F58" s="4"/>
      <c r="G58" s="6"/>
      <c r="H58" s="4"/>
      <c r="I58" s="4"/>
      <c r="J58" s="4"/>
    </row>
    <row r="59" spans="2:10" x14ac:dyDescent="0.25">
      <c r="B59" s="15"/>
      <c r="C59" s="5"/>
      <c r="D59" s="5"/>
      <c r="E59" s="4"/>
      <c r="F59" s="4"/>
      <c r="G59" s="6"/>
      <c r="H59" s="4"/>
      <c r="I59" s="4"/>
      <c r="J59" s="4"/>
    </row>
    <row r="60" spans="2:10" x14ac:dyDescent="0.25">
      <c r="G60" s="16">
        <f>SUM(G5:G59)</f>
        <v>165134000</v>
      </c>
    </row>
  </sheetData>
  <mergeCells count="2">
    <mergeCell ref="M4:Q4"/>
    <mergeCell ref="B2:J2"/>
  </mergeCells>
  <conditionalFormatting sqref="H5:H59">
    <cfRule type="containsText" dxfId="11" priority="1" operator="containsText" text="DIBAYAR">
      <formula>NOT(ISERROR(SEARCH("DIBAYAR",H5)))</formula>
    </cfRule>
    <cfRule type="containsText" dxfId="10" priority="2" operator="containsText" text="DITAGIH">
      <formula>NOT(ISERROR(SEARCH("DITAGIH",H5)))</formula>
    </cfRule>
    <cfRule type="containsText" dxfId="9" priority="3" operator="containsText" text="DIBUAT">
      <formula>NOT(ISERROR(SEARCH("DIBUAT",H5)))</formula>
    </cfRule>
  </conditionalFormatting>
  <dataValidations count="2">
    <dataValidation type="list" allowBlank="1" showInputMessage="1" showErrorMessage="1" sqref="H5:H59" xr:uid="{997EDEF8-F9DB-4A95-AD74-5BE3FAC1D8B0}">
      <formula1>"DIBUAT,DITAGIH,DIBAYAR"</formula1>
    </dataValidation>
    <dataValidation type="list" allowBlank="1" showInputMessage="1" showErrorMessage="1" sqref="I5:I59" xr:uid="{6425F9F2-78D3-4239-A45C-E9E345771C7D}">
      <formula1>"TUNAI,TRANSFER"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79EA-6F57-4527-BD9D-B58F88ECFB1A}">
  <dimension ref="B2:Q69"/>
  <sheetViews>
    <sheetView showGridLines="0" topLeftCell="A53" zoomScale="68" zoomScaleNormal="100" workbookViewId="0">
      <selection activeCell="A40" sqref="A40:XFD40"/>
    </sheetView>
  </sheetViews>
  <sheetFormatPr defaultColWidth="9.140625" defaultRowHeight="15" x14ac:dyDescent="0.25"/>
  <cols>
    <col min="1" max="1" width="9.140625" style="1"/>
    <col min="2" max="2" width="4.5703125" style="14" customWidth="1"/>
    <col min="3" max="3" width="17" style="2" customWidth="1"/>
    <col min="4" max="4" width="39.7109375" style="2" customWidth="1"/>
    <col min="5" max="5" width="35.5703125" style="1" customWidth="1"/>
    <col min="6" max="6" width="74.7109375" style="1" customWidth="1"/>
    <col min="7" max="7" width="27.42578125" style="3" customWidth="1"/>
    <col min="8" max="9" width="22" style="1" customWidth="1"/>
    <col min="10" max="10" width="51.42578125" style="1" customWidth="1"/>
    <col min="11" max="11" width="9.140625" style="1"/>
    <col min="12" max="12" width="3.5703125" style="1" customWidth="1"/>
    <col min="13" max="13" width="17.5703125" style="1" customWidth="1"/>
    <col min="14" max="14" width="1.42578125" style="1" customWidth="1"/>
    <col min="15" max="17" width="9.140625" style="1"/>
    <col min="18" max="18" width="3.5703125" style="1" customWidth="1"/>
    <col min="19" max="16384" width="9.140625" style="1"/>
  </cols>
  <sheetData>
    <row r="2" spans="2:17" ht="22.5" x14ac:dyDescent="0.25">
      <c r="B2" s="24" t="s">
        <v>208</v>
      </c>
      <c r="C2" s="24"/>
      <c r="D2" s="24"/>
      <c r="E2" s="24"/>
      <c r="F2" s="24"/>
      <c r="G2" s="24"/>
      <c r="H2" s="24"/>
      <c r="I2" s="24"/>
      <c r="J2" s="24"/>
    </row>
    <row r="4" spans="2:17" s="12" customFormat="1" ht="27.75" customHeight="1" x14ac:dyDescent="0.25">
      <c r="B4" s="8" t="s">
        <v>0</v>
      </c>
      <c r="C4" s="9" t="s">
        <v>1</v>
      </c>
      <c r="D4" s="10" t="s">
        <v>9</v>
      </c>
      <c r="E4" s="8" t="s">
        <v>2</v>
      </c>
      <c r="F4" s="8" t="s">
        <v>3</v>
      </c>
      <c r="G4" s="11" t="s">
        <v>4</v>
      </c>
      <c r="H4" s="8" t="s">
        <v>13</v>
      </c>
      <c r="I4" s="8" t="s">
        <v>11</v>
      </c>
      <c r="J4" s="8" t="s">
        <v>6</v>
      </c>
      <c r="L4" s="13"/>
      <c r="M4" s="23" t="s">
        <v>7</v>
      </c>
      <c r="N4" s="23"/>
      <c r="O4" s="23"/>
      <c r="P4" s="23"/>
      <c r="Q4" s="23"/>
    </row>
    <row r="5" spans="2:17" x14ac:dyDescent="0.25">
      <c r="B5" s="15">
        <v>1</v>
      </c>
      <c r="C5" s="5" t="s">
        <v>109</v>
      </c>
      <c r="D5" s="5"/>
      <c r="E5" s="4" t="s">
        <v>110</v>
      </c>
      <c r="F5" s="4" t="s">
        <v>111</v>
      </c>
      <c r="G5" s="6">
        <v>39194000</v>
      </c>
      <c r="H5" s="4" t="s">
        <v>22</v>
      </c>
      <c r="I5" s="4"/>
      <c r="J5" s="4"/>
      <c r="L5" s="7"/>
      <c r="M5" s="7" t="s">
        <v>9</v>
      </c>
      <c r="N5" s="7" t="s">
        <v>8</v>
      </c>
      <c r="O5" s="7" t="s">
        <v>17</v>
      </c>
      <c r="P5" s="7"/>
      <c r="Q5" s="7"/>
    </row>
    <row r="6" spans="2:17" x14ac:dyDescent="0.25">
      <c r="B6" s="15"/>
      <c r="C6" s="5"/>
      <c r="D6" s="5"/>
      <c r="E6" s="4" t="s">
        <v>112</v>
      </c>
      <c r="F6" s="4" t="s">
        <v>113</v>
      </c>
      <c r="G6" s="6">
        <v>230000</v>
      </c>
      <c r="H6" s="4" t="s">
        <v>102</v>
      </c>
      <c r="I6" s="4"/>
      <c r="J6" s="4"/>
      <c r="L6" s="7"/>
      <c r="M6" s="7" t="s">
        <v>5</v>
      </c>
      <c r="N6" s="7" t="s">
        <v>8</v>
      </c>
      <c r="O6" s="7" t="s">
        <v>10</v>
      </c>
      <c r="P6" s="7"/>
      <c r="Q6" s="7"/>
    </row>
    <row r="7" spans="2:17" x14ac:dyDescent="0.25">
      <c r="B7" s="15">
        <v>2</v>
      </c>
      <c r="C7" s="5" t="s">
        <v>115</v>
      </c>
      <c r="D7" s="5"/>
      <c r="E7" s="4" t="s">
        <v>114</v>
      </c>
      <c r="F7" s="4" t="s">
        <v>29</v>
      </c>
      <c r="G7" s="6">
        <v>155000</v>
      </c>
      <c r="H7" s="4" t="s">
        <v>22</v>
      </c>
      <c r="I7" s="4"/>
      <c r="J7" s="4"/>
      <c r="L7" s="7"/>
      <c r="M7" s="7" t="s">
        <v>14</v>
      </c>
      <c r="N7" s="7" t="s">
        <v>8</v>
      </c>
      <c r="O7" s="7" t="s">
        <v>15</v>
      </c>
      <c r="P7" s="7"/>
      <c r="Q7" s="7"/>
    </row>
    <row r="8" spans="2:17" x14ac:dyDescent="0.25">
      <c r="B8" s="15"/>
      <c r="C8" s="5"/>
      <c r="D8" s="5"/>
      <c r="E8" s="4" t="s">
        <v>120</v>
      </c>
      <c r="F8" s="4" t="s">
        <v>121</v>
      </c>
      <c r="G8" s="6">
        <v>1200000</v>
      </c>
      <c r="H8" s="4" t="s">
        <v>102</v>
      </c>
      <c r="I8" s="4"/>
      <c r="J8" s="4"/>
      <c r="L8" s="7"/>
      <c r="M8" s="7"/>
      <c r="N8" s="7"/>
      <c r="O8" s="7"/>
      <c r="P8" s="7"/>
      <c r="Q8" s="7"/>
    </row>
    <row r="9" spans="2:17" x14ac:dyDescent="0.25">
      <c r="B9" s="15"/>
      <c r="C9" s="5"/>
      <c r="D9" s="5"/>
      <c r="E9" s="4" t="s">
        <v>116</v>
      </c>
      <c r="F9" s="4" t="s">
        <v>117</v>
      </c>
      <c r="G9" s="6">
        <v>940000</v>
      </c>
      <c r="H9" s="4" t="s">
        <v>102</v>
      </c>
      <c r="I9" s="4"/>
      <c r="J9" s="4"/>
      <c r="L9" s="7"/>
      <c r="M9" s="7"/>
      <c r="N9" s="7"/>
      <c r="O9" s="7"/>
      <c r="P9" s="7"/>
      <c r="Q9" s="7"/>
    </row>
    <row r="10" spans="2:17" x14ac:dyDescent="0.25">
      <c r="B10" s="15"/>
      <c r="C10" s="5"/>
      <c r="D10" s="5"/>
      <c r="E10" s="4"/>
      <c r="F10" s="4"/>
      <c r="G10" s="6"/>
      <c r="H10" s="4"/>
      <c r="I10" s="4"/>
      <c r="J10" s="4"/>
    </row>
    <row r="11" spans="2:17" x14ac:dyDescent="0.25">
      <c r="B11" s="15"/>
      <c r="C11" s="5"/>
      <c r="D11" s="5"/>
      <c r="E11" s="4" t="s">
        <v>116</v>
      </c>
      <c r="F11" s="4" t="s">
        <v>122</v>
      </c>
      <c r="G11" s="6">
        <v>665000</v>
      </c>
      <c r="H11" s="4" t="s">
        <v>102</v>
      </c>
      <c r="I11" s="4"/>
      <c r="J11" s="4"/>
    </row>
    <row r="12" spans="2:17" x14ac:dyDescent="0.25">
      <c r="B12" s="15"/>
      <c r="C12" s="5"/>
      <c r="D12" s="5"/>
      <c r="E12" s="4" t="s">
        <v>123</v>
      </c>
      <c r="F12" s="4" t="s">
        <v>124</v>
      </c>
      <c r="G12" s="6">
        <v>850000</v>
      </c>
      <c r="H12" s="4" t="s">
        <v>102</v>
      </c>
      <c r="I12" s="4"/>
      <c r="J12" s="4"/>
    </row>
    <row r="13" spans="2:17" x14ac:dyDescent="0.25">
      <c r="B13" s="15"/>
      <c r="C13" s="5"/>
      <c r="D13" s="5"/>
      <c r="E13" s="4" t="s">
        <v>125</v>
      </c>
      <c r="F13" s="4" t="s">
        <v>124</v>
      </c>
      <c r="G13" s="6">
        <v>1600000</v>
      </c>
      <c r="H13" s="4" t="s">
        <v>102</v>
      </c>
      <c r="I13" s="4"/>
      <c r="J13" s="4"/>
    </row>
    <row r="14" spans="2:17" x14ac:dyDescent="0.25">
      <c r="B14" s="15"/>
      <c r="C14" s="5"/>
      <c r="D14" s="5"/>
      <c r="E14" s="4" t="s">
        <v>126</v>
      </c>
      <c r="F14" s="4" t="s">
        <v>127</v>
      </c>
      <c r="G14" s="6">
        <v>17104000</v>
      </c>
      <c r="H14" s="4" t="s">
        <v>22</v>
      </c>
      <c r="I14" s="4"/>
      <c r="J14" s="4"/>
    </row>
    <row r="15" spans="2:17" x14ac:dyDescent="0.25">
      <c r="B15" s="15"/>
      <c r="C15" s="5"/>
      <c r="D15" s="5"/>
      <c r="E15" s="4" t="s">
        <v>128</v>
      </c>
      <c r="F15" s="4" t="s">
        <v>129</v>
      </c>
      <c r="G15" s="6">
        <v>1250000</v>
      </c>
      <c r="H15" s="4" t="s">
        <v>22</v>
      </c>
      <c r="I15" s="4"/>
      <c r="J15" s="4"/>
    </row>
    <row r="16" spans="2:17" x14ac:dyDescent="0.25">
      <c r="B16" s="15"/>
      <c r="C16" s="5"/>
      <c r="D16" s="5"/>
      <c r="E16" s="4" t="s">
        <v>130</v>
      </c>
      <c r="F16" s="4" t="s">
        <v>131</v>
      </c>
      <c r="G16" s="6">
        <v>1135000</v>
      </c>
      <c r="H16" s="4" t="s">
        <v>22</v>
      </c>
      <c r="I16" s="4"/>
      <c r="J16" s="4"/>
    </row>
    <row r="17" spans="2:10" x14ac:dyDescent="0.25">
      <c r="B17" s="15"/>
      <c r="C17" s="5"/>
      <c r="D17" s="5"/>
      <c r="E17" s="4" t="s">
        <v>132</v>
      </c>
      <c r="F17" s="4" t="s">
        <v>29</v>
      </c>
      <c r="G17" s="6">
        <v>300000</v>
      </c>
      <c r="H17" s="4" t="s">
        <v>102</v>
      </c>
      <c r="I17" s="4"/>
      <c r="J17" s="4"/>
    </row>
    <row r="18" spans="2:10" x14ac:dyDescent="0.25">
      <c r="B18" s="15"/>
      <c r="C18" s="5"/>
      <c r="D18" s="5"/>
      <c r="E18" s="4" t="s">
        <v>133</v>
      </c>
      <c r="F18" s="4" t="s">
        <v>124</v>
      </c>
      <c r="G18" s="6">
        <v>1700000</v>
      </c>
      <c r="H18" s="4" t="s">
        <v>102</v>
      </c>
      <c r="I18" s="4"/>
      <c r="J18" s="4"/>
    </row>
    <row r="19" spans="2:10" x14ac:dyDescent="0.25">
      <c r="B19" s="15"/>
      <c r="C19" s="5"/>
      <c r="D19" s="5"/>
      <c r="E19" s="4" t="s">
        <v>134</v>
      </c>
      <c r="F19" s="4" t="s">
        <v>135</v>
      </c>
      <c r="G19" s="6">
        <v>180000</v>
      </c>
      <c r="H19" s="4" t="s">
        <v>102</v>
      </c>
      <c r="I19" s="4"/>
      <c r="J19" s="4"/>
    </row>
    <row r="20" spans="2:10" x14ac:dyDescent="0.25">
      <c r="B20" s="15"/>
      <c r="C20" s="5"/>
      <c r="D20" s="5"/>
      <c r="E20" s="4" t="s">
        <v>136</v>
      </c>
      <c r="F20" s="4" t="s">
        <v>29</v>
      </c>
      <c r="G20" s="6">
        <v>185000</v>
      </c>
      <c r="H20" s="4" t="s">
        <v>22</v>
      </c>
      <c r="I20" s="4"/>
      <c r="J20" s="4"/>
    </row>
    <row r="21" spans="2:10" s="7" customFormat="1" x14ac:dyDescent="0.25">
      <c r="B21" s="18"/>
      <c r="C21" s="19"/>
      <c r="D21" s="19"/>
      <c r="E21" s="20" t="s">
        <v>137</v>
      </c>
      <c r="F21" s="20" t="s">
        <v>138</v>
      </c>
      <c r="G21" s="21">
        <v>155000</v>
      </c>
      <c r="H21" s="20" t="s">
        <v>102</v>
      </c>
      <c r="I21" s="20"/>
      <c r="J21" s="20"/>
    </row>
    <row r="22" spans="2:10" x14ac:dyDescent="0.25">
      <c r="B22" s="15"/>
      <c r="C22" s="5"/>
      <c r="D22" s="5"/>
      <c r="E22" s="4" t="s">
        <v>139</v>
      </c>
      <c r="F22" s="4" t="s">
        <v>29</v>
      </c>
      <c r="G22" s="6">
        <v>938000</v>
      </c>
      <c r="H22" s="4" t="s">
        <v>22</v>
      </c>
      <c r="I22" s="4"/>
      <c r="J22" s="4"/>
    </row>
    <row r="23" spans="2:10" x14ac:dyDescent="0.25">
      <c r="B23" s="15"/>
      <c r="C23" s="5"/>
      <c r="D23" s="5"/>
      <c r="E23" s="4" t="s">
        <v>140</v>
      </c>
      <c r="F23" s="4" t="s">
        <v>29</v>
      </c>
      <c r="G23" s="6">
        <v>180000</v>
      </c>
      <c r="H23" s="4" t="s">
        <v>22</v>
      </c>
      <c r="I23" s="4"/>
      <c r="J23" s="4"/>
    </row>
    <row r="24" spans="2:10" x14ac:dyDescent="0.25">
      <c r="B24" s="15"/>
      <c r="C24" s="5"/>
      <c r="D24" s="5"/>
      <c r="E24" s="4" t="s">
        <v>141</v>
      </c>
      <c r="F24" s="4" t="s">
        <v>142</v>
      </c>
      <c r="G24" s="6">
        <v>3200000</v>
      </c>
      <c r="H24" s="4" t="s">
        <v>102</v>
      </c>
      <c r="I24" s="4"/>
      <c r="J24" s="4"/>
    </row>
    <row r="25" spans="2:10" x14ac:dyDescent="0.25">
      <c r="B25" s="15">
        <v>3</v>
      </c>
      <c r="C25" s="5" t="s">
        <v>169</v>
      </c>
      <c r="D25" s="5"/>
      <c r="E25" s="4" t="s">
        <v>170</v>
      </c>
      <c r="F25" s="4" t="s">
        <v>171</v>
      </c>
      <c r="G25" s="6">
        <v>100000</v>
      </c>
      <c r="H25" s="4" t="s">
        <v>102</v>
      </c>
      <c r="I25" s="4"/>
      <c r="J25" s="4"/>
    </row>
    <row r="26" spans="2:10" x14ac:dyDescent="0.25">
      <c r="B26" s="15">
        <v>4</v>
      </c>
      <c r="C26" s="5" t="s">
        <v>172</v>
      </c>
      <c r="D26" s="5"/>
      <c r="E26" s="4" t="s">
        <v>118</v>
      </c>
      <c r="F26" s="4" t="s">
        <v>171</v>
      </c>
      <c r="G26" s="6">
        <v>1947500</v>
      </c>
      <c r="H26" s="4" t="s">
        <v>102</v>
      </c>
      <c r="I26" s="4"/>
      <c r="J26" s="4"/>
    </row>
    <row r="27" spans="2:10" x14ac:dyDescent="0.25">
      <c r="B27" s="15">
        <v>5</v>
      </c>
      <c r="C27" s="5" t="s">
        <v>173</v>
      </c>
      <c r="D27" s="5"/>
      <c r="E27" s="4" t="s">
        <v>144</v>
      </c>
      <c r="F27" s="4" t="s">
        <v>145</v>
      </c>
      <c r="G27" s="6">
        <v>2625000</v>
      </c>
      <c r="H27" s="4" t="s">
        <v>102</v>
      </c>
      <c r="I27" s="4"/>
      <c r="J27" s="4"/>
    </row>
    <row r="28" spans="2:10" x14ac:dyDescent="0.25">
      <c r="B28" s="15"/>
      <c r="C28" s="5"/>
      <c r="D28" s="5"/>
      <c r="E28" s="4" t="s">
        <v>139</v>
      </c>
      <c r="F28" s="4" t="s">
        <v>29</v>
      </c>
      <c r="G28" s="6">
        <v>100000</v>
      </c>
      <c r="H28" s="4" t="s">
        <v>22</v>
      </c>
      <c r="I28" s="4"/>
      <c r="J28" s="4"/>
    </row>
    <row r="29" spans="2:10" x14ac:dyDescent="0.25">
      <c r="B29" s="15">
        <v>6</v>
      </c>
      <c r="C29" s="5" t="s">
        <v>174</v>
      </c>
      <c r="D29" s="5"/>
      <c r="E29" s="4" t="s">
        <v>146</v>
      </c>
      <c r="F29" s="4" t="s">
        <v>149</v>
      </c>
      <c r="G29" s="6">
        <v>300000</v>
      </c>
      <c r="H29" s="4" t="s">
        <v>12</v>
      </c>
      <c r="I29" s="4"/>
      <c r="J29" s="4"/>
    </row>
    <row r="30" spans="2:10" x14ac:dyDescent="0.25">
      <c r="B30" s="15"/>
      <c r="C30" s="5"/>
      <c r="D30" s="5"/>
      <c r="E30" s="4" t="s">
        <v>147</v>
      </c>
      <c r="F30" s="4" t="s">
        <v>148</v>
      </c>
      <c r="G30" s="6">
        <v>4630000</v>
      </c>
      <c r="H30" s="4" t="s">
        <v>102</v>
      </c>
      <c r="I30" s="4"/>
      <c r="J30" s="4"/>
    </row>
    <row r="31" spans="2:10" x14ac:dyDescent="0.25">
      <c r="B31" s="15"/>
      <c r="C31" s="5"/>
      <c r="D31" s="5"/>
      <c r="E31" s="4" t="s">
        <v>150</v>
      </c>
      <c r="F31" s="4" t="s">
        <v>151</v>
      </c>
      <c r="G31" s="6">
        <v>756000</v>
      </c>
      <c r="H31" s="4" t="s">
        <v>102</v>
      </c>
      <c r="I31" s="4"/>
      <c r="J31" s="4"/>
    </row>
    <row r="32" spans="2:10" x14ac:dyDescent="0.25">
      <c r="B32" s="15">
        <v>7</v>
      </c>
      <c r="C32" s="5" t="s">
        <v>175</v>
      </c>
      <c r="D32" s="5"/>
      <c r="E32" s="4" t="s">
        <v>152</v>
      </c>
      <c r="F32" s="4" t="s">
        <v>124</v>
      </c>
      <c r="G32" s="6">
        <v>1600000</v>
      </c>
      <c r="H32" s="4" t="s">
        <v>102</v>
      </c>
      <c r="I32" s="4"/>
      <c r="J32" s="4"/>
    </row>
    <row r="33" spans="2:10" x14ac:dyDescent="0.25">
      <c r="B33" s="15">
        <v>8</v>
      </c>
      <c r="C33" s="5" t="s">
        <v>176</v>
      </c>
      <c r="D33" s="5"/>
      <c r="E33" s="4" t="s">
        <v>153</v>
      </c>
      <c r="F33" s="4" t="s">
        <v>138</v>
      </c>
      <c r="G33" s="6">
        <v>382000</v>
      </c>
      <c r="H33" s="4" t="s">
        <v>102</v>
      </c>
      <c r="I33" s="4"/>
      <c r="J33" s="4"/>
    </row>
    <row r="34" spans="2:10" x14ac:dyDescent="0.25">
      <c r="B34" s="15"/>
      <c r="C34" s="5"/>
      <c r="D34" s="5"/>
      <c r="E34" s="4" t="s">
        <v>154</v>
      </c>
      <c r="F34" s="4" t="s">
        <v>29</v>
      </c>
      <c r="G34" s="6">
        <v>490000</v>
      </c>
      <c r="H34" s="4" t="s">
        <v>22</v>
      </c>
      <c r="I34" s="4"/>
      <c r="J34" s="4"/>
    </row>
    <row r="35" spans="2:10" x14ac:dyDescent="0.25">
      <c r="B35" s="15">
        <v>9</v>
      </c>
      <c r="C35" s="5" t="s">
        <v>177</v>
      </c>
      <c r="D35" s="5"/>
      <c r="E35" s="4" t="s">
        <v>155</v>
      </c>
      <c r="F35" s="4" t="s">
        <v>119</v>
      </c>
      <c r="G35" s="6">
        <v>350000</v>
      </c>
      <c r="H35" s="4" t="s">
        <v>22</v>
      </c>
      <c r="I35" s="4"/>
      <c r="J35" s="4"/>
    </row>
    <row r="36" spans="2:10" x14ac:dyDescent="0.25">
      <c r="B36" s="15"/>
      <c r="C36" s="5"/>
      <c r="D36" s="5"/>
      <c r="E36" s="4" t="s">
        <v>156</v>
      </c>
      <c r="F36" s="4" t="s">
        <v>157</v>
      </c>
      <c r="G36" s="6">
        <v>440000</v>
      </c>
      <c r="H36" s="4" t="s">
        <v>102</v>
      </c>
      <c r="I36" s="4"/>
      <c r="J36" s="4"/>
    </row>
    <row r="37" spans="2:10" x14ac:dyDescent="0.25">
      <c r="B37" s="15"/>
      <c r="C37" s="5"/>
      <c r="D37" s="5"/>
      <c r="E37" s="4" t="s">
        <v>158</v>
      </c>
      <c r="F37" s="4" t="s">
        <v>159</v>
      </c>
      <c r="G37" s="6">
        <v>75000</v>
      </c>
      <c r="H37" s="4" t="s">
        <v>102</v>
      </c>
      <c r="I37" s="4"/>
      <c r="J37" s="4"/>
    </row>
    <row r="38" spans="2:10" x14ac:dyDescent="0.25">
      <c r="B38" s="15"/>
      <c r="C38" s="5"/>
      <c r="D38" s="5"/>
      <c r="E38" s="4" t="s">
        <v>160</v>
      </c>
      <c r="F38" s="4" t="s">
        <v>119</v>
      </c>
      <c r="G38" s="6">
        <v>300000</v>
      </c>
      <c r="H38" s="4" t="s">
        <v>102</v>
      </c>
      <c r="I38" s="4"/>
      <c r="J38" s="4"/>
    </row>
    <row r="39" spans="2:10" x14ac:dyDescent="0.25">
      <c r="B39" s="15"/>
      <c r="C39" s="5"/>
      <c r="D39" s="5"/>
      <c r="E39" s="4" t="s">
        <v>161</v>
      </c>
      <c r="F39" s="4" t="s">
        <v>119</v>
      </c>
      <c r="G39" s="6">
        <v>150000</v>
      </c>
      <c r="H39" s="4" t="s">
        <v>102</v>
      </c>
      <c r="I39" s="4"/>
      <c r="J39" s="4"/>
    </row>
    <row r="40" spans="2:10" s="7" customFormat="1" x14ac:dyDescent="0.25">
      <c r="B40" s="18">
        <v>10</v>
      </c>
      <c r="C40" s="19" t="s">
        <v>178</v>
      </c>
      <c r="D40" s="19"/>
      <c r="E40" s="20" t="s">
        <v>162</v>
      </c>
      <c r="F40" s="20" t="s">
        <v>163</v>
      </c>
      <c r="G40" s="21">
        <v>250000</v>
      </c>
      <c r="H40" s="20" t="s">
        <v>12</v>
      </c>
      <c r="I40" s="20"/>
      <c r="J40" s="20"/>
    </row>
    <row r="41" spans="2:10" x14ac:dyDescent="0.25">
      <c r="B41" s="15"/>
      <c r="C41" s="5"/>
      <c r="D41" s="5"/>
      <c r="E41" s="4" t="s">
        <v>164</v>
      </c>
      <c r="F41" s="4" t="s">
        <v>165</v>
      </c>
      <c r="G41" s="6">
        <v>415000</v>
      </c>
      <c r="H41" s="4" t="s">
        <v>102</v>
      </c>
      <c r="I41" s="4"/>
      <c r="J41" s="4"/>
    </row>
    <row r="42" spans="2:10" x14ac:dyDescent="0.25">
      <c r="B42" s="15">
        <v>11</v>
      </c>
      <c r="C42" s="5" t="s">
        <v>179</v>
      </c>
      <c r="D42" s="5"/>
      <c r="E42" s="4" t="s">
        <v>166</v>
      </c>
      <c r="F42" s="4" t="s">
        <v>119</v>
      </c>
      <c r="G42" s="6">
        <v>300000</v>
      </c>
      <c r="H42" s="4" t="s">
        <v>102</v>
      </c>
      <c r="I42" s="4"/>
      <c r="J42" s="4"/>
    </row>
    <row r="43" spans="2:10" x14ac:dyDescent="0.25">
      <c r="B43" s="15">
        <v>12</v>
      </c>
      <c r="C43" s="5" t="s">
        <v>180</v>
      </c>
      <c r="D43" s="5"/>
      <c r="E43" s="4" t="s">
        <v>181</v>
      </c>
      <c r="F43" s="4" t="s">
        <v>29</v>
      </c>
      <c r="G43" s="6">
        <v>715000</v>
      </c>
      <c r="H43" s="4" t="s">
        <v>102</v>
      </c>
      <c r="I43" s="4"/>
      <c r="J43" s="4"/>
    </row>
    <row r="44" spans="2:10" x14ac:dyDescent="0.25">
      <c r="B44" s="15">
        <v>13</v>
      </c>
      <c r="C44" s="5" t="s">
        <v>182</v>
      </c>
      <c r="D44" s="5"/>
      <c r="E44" s="4" t="s">
        <v>183</v>
      </c>
      <c r="F44" s="4" t="s">
        <v>184</v>
      </c>
      <c r="G44" s="6">
        <v>3750000</v>
      </c>
      <c r="H44" s="4" t="s">
        <v>22</v>
      </c>
      <c r="I44" s="4"/>
      <c r="J44" s="4"/>
    </row>
    <row r="45" spans="2:10" x14ac:dyDescent="0.25">
      <c r="B45" s="15">
        <v>14</v>
      </c>
      <c r="C45" s="5" t="s">
        <v>186</v>
      </c>
      <c r="D45" s="5"/>
      <c r="E45" s="4" t="s">
        <v>185</v>
      </c>
      <c r="F45" s="4" t="s">
        <v>188</v>
      </c>
      <c r="G45" s="6">
        <v>2400000</v>
      </c>
      <c r="H45" s="4" t="s">
        <v>102</v>
      </c>
      <c r="I45" s="4"/>
      <c r="J45" s="4"/>
    </row>
    <row r="46" spans="2:10" x14ac:dyDescent="0.25">
      <c r="B46" s="15"/>
      <c r="C46" s="5"/>
      <c r="D46" s="5"/>
      <c r="E46" s="4" t="s">
        <v>187</v>
      </c>
      <c r="F46" s="4" t="s">
        <v>189</v>
      </c>
      <c r="G46" s="6">
        <v>8650000</v>
      </c>
      <c r="H46" s="4" t="s">
        <v>22</v>
      </c>
      <c r="I46" s="4"/>
      <c r="J46" s="4"/>
    </row>
    <row r="47" spans="2:10" x14ac:dyDescent="0.25">
      <c r="B47" s="15">
        <v>15</v>
      </c>
      <c r="C47" s="5" t="s">
        <v>190</v>
      </c>
      <c r="D47" s="5"/>
      <c r="E47" s="4" t="s">
        <v>167</v>
      </c>
      <c r="F47" s="4" t="s">
        <v>119</v>
      </c>
      <c r="G47" s="6">
        <v>200000</v>
      </c>
      <c r="H47" s="4" t="s">
        <v>102</v>
      </c>
      <c r="I47" s="4"/>
      <c r="J47" s="4"/>
    </row>
    <row r="48" spans="2:10" x14ac:dyDescent="0.25">
      <c r="B48" s="15"/>
      <c r="C48" s="5"/>
      <c r="D48" s="5"/>
      <c r="E48" s="4" t="s">
        <v>164</v>
      </c>
      <c r="F48" s="4" t="s">
        <v>168</v>
      </c>
      <c r="G48" s="6">
        <v>100000</v>
      </c>
      <c r="H48" s="4" t="s">
        <v>102</v>
      </c>
      <c r="I48" s="4"/>
      <c r="J48" s="4"/>
    </row>
    <row r="49" spans="2:10" x14ac:dyDescent="0.25">
      <c r="B49" s="15">
        <v>16</v>
      </c>
      <c r="C49" s="5" t="s">
        <v>191</v>
      </c>
      <c r="D49" s="5"/>
      <c r="E49" s="4" t="s">
        <v>192</v>
      </c>
      <c r="F49" s="4" t="s">
        <v>29</v>
      </c>
      <c r="G49" s="6">
        <v>225000</v>
      </c>
      <c r="H49" s="4" t="s">
        <v>22</v>
      </c>
      <c r="I49" s="4"/>
      <c r="J49" s="4"/>
    </row>
    <row r="50" spans="2:10" x14ac:dyDescent="0.25">
      <c r="B50" s="15"/>
      <c r="C50" s="5"/>
      <c r="D50" s="5"/>
      <c r="E50" s="4" t="s">
        <v>193</v>
      </c>
      <c r="F50" s="4" t="s">
        <v>171</v>
      </c>
      <c r="G50" s="6">
        <v>200000</v>
      </c>
      <c r="H50" s="4" t="s">
        <v>102</v>
      </c>
      <c r="I50" s="4"/>
      <c r="J50" s="4"/>
    </row>
    <row r="51" spans="2:10" x14ac:dyDescent="0.25">
      <c r="B51" s="15"/>
      <c r="C51" s="5"/>
      <c r="D51" s="5"/>
      <c r="E51" s="4" t="s">
        <v>181</v>
      </c>
      <c r="F51" s="4" t="s">
        <v>171</v>
      </c>
      <c r="G51" s="6">
        <v>600000</v>
      </c>
      <c r="H51" s="4" t="s">
        <v>102</v>
      </c>
      <c r="I51" s="4"/>
      <c r="J51" s="4"/>
    </row>
    <row r="52" spans="2:10" x14ac:dyDescent="0.25">
      <c r="B52" s="15">
        <v>17</v>
      </c>
      <c r="C52" s="5" t="s">
        <v>194</v>
      </c>
      <c r="D52" s="5"/>
      <c r="E52" s="4" t="s">
        <v>195</v>
      </c>
      <c r="F52" s="4" t="s">
        <v>196</v>
      </c>
      <c r="G52" s="6">
        <v>835000</v>
      </c>
      <c r="H52" s="4" t="s">
        <v>22</v>
      </c>
      <c r="I52" s="4"/>
      <c r="J52" s="4"/>
    </row>
    <row r="53" spans="2:10" x14ac:dyDescent="0.25">
      <c r="B53" s="15">
        <v>18</v>
      </c>
      <c r="C53" s="5" t="s">
        <v>205</v>
      </c>
      <c r="D53" s="5"/>
      <c r="E53" s="4" t="s">
        <v>197</v>
      </c>
      <c r="F53" s="4" t="s">
        <v>198</v>
      </c>
      <c r="G53" s="6">
        <v>4575000</v>
      </c>
      <c r="H53" s="4" t="s">
        <v>102</v>
      </c>
      <c r="I53" s="4"/>
      <c r="J53" s="4"/>
    </row>
    <row r="54" spans="2:10" x14ac:dyDescent="0.25">
      <c r="B54" s="15"/>
      <c r="C54" s="5"/>
      <c r="D54" s="5"/>
      <c r="E54" s="4" t="s">
        <v>206</v>
      </c>
      <c r="F54" s="4" t="s">
        <v>202</v>
      </c>
      <c r="G54" s="6">
        <v>130000</v>
      </c>
      <c r="H54" s="4" t="s">
        <v>102</v>
      </c>
      <c r="I54" s="4"/>
      <c r="J54" s="4"/>
    </row>
    <row r="55" spans="2:10" x14ac:dyDescent="0.25">
      <c r="B55" s="15"/>
      <c r="C55" s="5"/>
      <c r="D55" s="5"/>
      <c r="E55" s="4" t="s">
        <v>207</v>
      </c>
      <c r="F55" s="4" t="s">
        <v>29</v>
      </c>
      <c r="G55" s="6">
        <v>500000</v>
      </c>
      <c r="H55" s="4" t="s">
        <v>102</v>
      </c>
      <c r="I55" s="4"/>
      <c r="J55" s="4"/>
    </row>
    <row r="56" spans="2:10" x14ac:dyDescent="0.25">
      <c r="B56" s="15"/>
      <c r="C56" s="5"/>
      <c r="D56" s="5"/>
      <c r="E56" s="4" t="s">
        <v>199</v>
      </c>
      <c r="F56" s="4" t="s">
        <v>198</v>
      </c>
      <c r="G56" s="6">
        <v>5165000</v>
      </c>
      <c r="H56" s="4" t="s">
        <v>102</v>
      </c>
      <c r="I56" s="4"/>
      <c r="J56" s="4"/>
    </row>
    <row r="57" spans="2:10" x14ac:dyDescent="0.25">
      <c r="B57" s="15">
        <v>19</v>
      </c>
      <c r="C57" s="5" t="s">
        <v>200</v>
      </c>
      <c r="D57" s="5"/>
      <c r="E57" s="4" t="s">
        <v>201</v>
      </c>
      <c r="F57" s="4" t="s">
        <v>202</v>
      </c>
      <c r="G57" s="6">
        <v>300000</v>
      </c>
      <c r="H57" s="4" t="s">
        <v>12</v>
      </c>
      <c r="I57" s="4"/>
      <c r="J57" s="4"/>
    </row>
    <row r="58" spans="2:10" x14ac:dyDescent="0.25">
      <c r="B58" s="15"/>
      <c r="C58" s="5"/>
      <c r="D58" s="5"/>
      <c r="E58" s="4" t="s">
        <v>203</v>
      </c>
      <c r="F58" s="4" t="s">
        <v>204</v>
      </c>
      <c r="G58" s="6">
        <v>1255000</v>
      </c>
      <c r="H58" s="4" t="s">
        <v>102</v>
      </c>
      <c r="I58" s="4"/>
      <c r="J58" s="4"/>
    </row>
    <row r="59" spans="2:10" x14ac:dyDescent="0.25">
      <c r="B59" s="15"/>
      <c r="C59" s="5"/>
      <c r="D59" s="5"/>
      <c r="E59" s="4"/>
      <c r="F59" s="4"/>
      <c r="G59" s="6"/>
      <c r="H59" s="4"/>
      <c r="I59" s="4"/>
      <c r="J59" s="4"/>
    </row>
    <row r="60" spans="2:10" x14ac:dyDescent="0.25">
      <c r="B60" s="15"/>
      <c r="C60" s="5"/>
      <c r="D60" s="5"/>
      <c r="E60" s="4"/>
      <c r="F60" s="4"/>
      <c r="G60" s="6"/>
      <c r="H60" s="4"/>
      <c r="I60" s="4"/>
      <c r="J60" s="4"/>
    </row>
    <row r="61" spans="2:10" x14ac:dyDescent="0.25">
      <c r="B61" s="15"/>
      <c r="C61" s="5"/>
      <c r="D61" s="5"/>
      <c r="E61" s="4"/>
      <c r="F61" s="4"/>
      <c r="G61" s="6"/>
      <c r="H61" s="4"/>
      <c r="I61" s="4"/>
      <c r="J61" s="4"/>
    </row>
    <row r="62" spans="2:10" x14ac:dyDescent="0.25">
      <c r="B62" s="15"/>
      <c r="C62" s="5"/>
      <c r="D62" s="5"/>
      <c r="E62" s="4"/>
      <c r="F62" s="4"/>
      <c r="G62" s="6"/>
      <c r="H62" s="4"/>
      <c r="I62" s="4"/>
      <c r="J62" s="4"/>
    </row>
    <row r="63" spans="2:10" x14ac:dyDescent="0.25">
      <c r="B63" s="15"/>
      <c r="C63" s="5"/>
      <c r="D63" s="5"/>
      <c r="E63" s="4"/>
      <c r="F63" s="4"/>
      <c r="G63" s="6"/>
      <c r="H63" s="4"/>
      <c r="I63" s="4"/>
      <c r="J63" s="4"/>
    </row>
    <row r="64" spans="2:10" x14ac:dyDescent="0.25">
      <c r="B64" s="15"/>
      <c r="C64" s="5"/>
      <c r="D64" s="5"/>
      <c r="E64" s="4"/>
      <c r="F64" s="4"/>
      <c r="G64" s="6"/>
      <c r="H64" s="4"/>
      <c r="I64" s="4"/>
      <c r="J64" s="4"/>
    </row>
    <row r="65" spans="2:10" x14ac:dyDescent="0.25">
      <c r="B65" s="15"/>
      <c r="C65" s="5"/>
      <c r="D65" s="5"/>
      <c r="E65" s="4"/>
      <c r="F65" s="4"/>
      <c r="G65" s="6"/>
      <c r="H65" s="4"/>
      <c r="I65" s="4"/>
      <c r="J65" s="4"/>
    </row>
    <row r="66" spans="2:10" x14ac:dyDescent="0.25">
      <c r="B66" s="15"/>
      <c r="C66" s="5"/>
      <c r="D66" s="5"/>
      <c r="E66" s="4"/>
      <c r="F66" s="4"/>
      <c r="G66" s="6"/>
      <c r="H66" s="4"/>
      <c r="I66" s="4"/>
      <c r="J66" s="4"/>
    </row>
    <row r="67" spans="2:10" x14ac:dyDescent="0.25">
      <c r="B67" s="15"/>
      <c r="C67" s="5"/>
      <c r="D67" s="5"/>
      <c r="E67" s="4"/>
      <c r="F67" s="4"/>
      <c r="G67" s="6"/>
      <c r="H67" s="4"/>
      <c r="I67" s="4"/>
      <c r="J67" s="4"/>
    </row>
    <row r="68" spans="2:10" x14ac:dyDescent="0.25">
      <c r="B68" s="15"/>
      <c r="C68" s="5"/>
      <c r="D68" s="5"/>
      <c r="E68" s="4"/>
      <c r="F68" s="4"/>
      <c r="G68" s="6">
        <f>SUM(G5:G58)</f>
        <v>115971500</v>
      </c>
      <c r="H68" s="4"/>
      <c r="I68" s="4"/>
      <c r="J68" s="4"/>
    </row>
    <row r="69" spans="2:10" x14ac:dyDescent="0.25">
      <c r="G69" s="16"/>
    </row>
  </sheetData>
  <mergeCells count="2">
    <mergeCell ref="B2:J2"/>
    <mergeCell ref="M4:Q4"/>
  </mergeCells>
  <conditionalFormatting sqref="H5:H68">
    <cfRule type="containsText" dxfId="8" priority="1" operator="containsText" text="DIBAYAR">
      <formula>NOT(ISERROR(SEARCH("DIBAYAR",H5)))</formula>
    </cfRule>
    <cfRule type="containsText" dxfId="7" priority="2" operator="containsText" text="DITAGIH">
      <formula>NOT(ISERROR(SEARCH("DITAGIH",H5)))</formula>
    </cfRule>
    <cfRule type="containsText" dxfId="6" priority="3" operator="containsText" text="DIBUAT">
      <formula>NOT(ISERROR(SEARCH("DIBUAT",H5)))</formula>
    </cfRule>
  </conditionalFormatting>
  <dataValidations count="2">
    <dataValidation type="list" allowBlank="1" showInputMessage="1" showErrorMessage="1" sqref="I5:I68" xr:uid="{8D463466-EF54-4372-8845-E37C7920DA1D}">
      <formula1>"TUNAI,TRANSFER"</formula1>
    </dataValidation>
    <dataValidation type="list" allowBlank="1" showInputMessage="1" showErrorMessage="1" sqref="H5:H68" xr:uid="{1B647AD2-72F7-4B88-B373-83AD8FAE4C47}">
      <formula1>"DIBUAT,DITAGIH,DIBAYAR"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72B4-6C20-499B-A19B-2B4CE7B2EFBB}">
  <dimension ref="B2:Q71"/>
  <sheetViews>
    <sheetView topLeftCell="A36" zoomScale="85" zoomScaleNormal="85" workbookViewId="0">
      <selection activeCell="H57" sqref="H57"/>
    </sheetView>
  </sheetViews>
  <sheetFormatPr defaultColWidth="9.140625" defaultRowHeight="15" x14ac:dyDescent="0.25"/>
  <cols>
    <col min="1" max="1" width="9.140625" style="1"/>
    <col min="2" max="2" width="4.5703125" style="14" customWidth="1"/>
    <col min="3" max="3" width="19.42578125" style="2" customWidth="1"/>
    <col min="4" max="4" width="39.7109375" style="2" customWidth="1"/>
    <col min="5" max="5" width="35.5703125" style="1" customWidth="1"/>
    <col min="6" max="6" width="74.7109375" style="1" customWidth="1"/>
    <col min="7" max="7" width="27.42578125" style="3" customWidth="1"/>
    <col min="8" max="9" width="22" style="1" customWidth="1"/>
    <col min="10" max="10" width="51.42578125" style="1" customWidth="1"/>
    <col min="11" max="11" width="9.140625" style="1"/>
    <col min="12" max="12" width="3.5703125" style="1" customWidth="1"/>
    <col min="13" max="13" width="17.5703125" style="1" customWidth="1"/>
    <col min="14" max="14" width="1.42578125" style="1" customWidth="1"/>
    <col min="15" max="17" width="9.140625" style="1"/>
    <col min="18" max="18" width="3.5703125" style="1" customWidth="1"/>
    <col min="19" max="16384" width="9.140625" style="1"/>
  </cols>
  <sheetData>
    <row r="2" spans="2:17" ht="22.5" x14ac:dyDescent="0.25">
      <c r="B2" s="24" t="s">
        <v>208</v>
      </c>
      <c r="C2" s="24"/>
      <c r="D2" s="24"/>
      <c r="E2" s="24"/>
      <c r="F2" s="24"/>
      <c r="G2" s="24"/>
      <c r="H2" s="24"/>
      <c r="I2" s="24"/>
      <c r="J2" s="24"/>
    </row>
    <row r="4" spans="2:17" s="12" customFormat="1" ht="27.75" customHeight="1" x14ac:dyDescent="0.25">
      <c r="B4" s="8" t="s">
        <v>0</v>
      </c>
      <c r="C4" s="9" t="s">
        <v>1</v>
      </c>
      <c r="D4" s="10" t="s">
        <v>9</v>
      </c>
      <c r="E4" s="8" t="s">
        <v>2</v>
      </c>
      <c r="F4" s="8" t="s">
        <v>3</v>
      </c>
      <c r="G4" s="11" t="s">
        <v>4</v>
      </c>
      <c r="H4" s="8" t="s">
        <v>13</v>
      </c>
      <c r="I4" s="8" t="s">
        <v>11</v>
      </c>
      <c r="J4" s="8" t="s">
        <v>6</v>
      </c>
      <c r="L4" s="13"/>
      <c r="M4" s="23" t="s">
        <v>7</v>
      </c>
      <c r="N4" s="23"/>
      <c r="O4" s="23"/>
      <c r="P4" s="23"/>
      <c r="Q4" s="23"/>
    </row>
    <row r="5" spans="2:17" x14ac:dyDescent="0.25">
      <c r="B5" s="15">
        <v>1</v>
      </c>
      <c r="C5" s="5" t="s">
        <v>209</v>
      </c>
      <c r="D5" s="5" t="s">
        <v>213</v>
      </c>
      <c r="E5" s="4" t="s">
        <v>110</v>
      </c>
      <c r="F5" s="4" t="s">
        <v>210</v>
      </c>
      <c r="G5" s="6">
        <v>450000</v>
      </c>
      <c r="H5" s="4" t="s">
        <v>22</v>
      </c>
      <c r="I5" s="4"/>
      <c r="J5" s="4"/>
      <c r="L5" s="7"/>
      <c r="M5" s="7" t="s">
        <v>9</v>
      </c>
      <c r="N5" s="7" t="s">
        <v>8</v>
      </c>
      <c r="O5" s="7" t="s">
        <v>17</v>
      </c>
      <c r="P5" s="7"/>
      <c r="Q5" s="7"/>
    </row>
    <row r="6" spans="2:17" x14ac:dyDescent="0.25">
      <c r="B6" s="15"/>
      <c r="C6" s="5"/>
      <c r="D6" s="5"/>
      <c r="E6" s="4" t="s">
        <v>225</v>
      </c>
      <c r="F6" s="4" t="s">
        <v>211</v>
      </c>
      <c r="G6" s="6">
        <v>2850000</v>
      </c>
      <c r="H6" s="4" t="s">
        <v>22</v>
      </c>
      <c r="I6" s="4"/>
      <c r="J6" s="4"/>
      <c r="L6" s="7"/>
      <c r="M6" s="7" t="s">
        <v>5</v>
      </c>
      <c r="N6" s="7" t="s">
        <v>8</v>
      </c>
      <c r="O6" s="7" t="s">
        <v>10</v>
      </c>
      <c r="P6" s="7"/>
      <c r="Q6" s="7"/>
    </row>
    <row r="7" spans="2:17" x14ac:dyDescent="0.25">
      <c r="B7" s="15"/>
      <c r="C7" s="5"/>
      <c r="D7" s="5"/>
      <c r="E7" s="4" t="s">
        <v>232</v>
      </c>
      <c r="F7" s="4" t="s">
        <v>212</v>
      </c>
      <c r="G7" s="6">
        <v>2250000</v>
      </c>
      <c r="H7" s="4" t="s">
        <v>12</v>
      </c>
      <c r="I7" s="4"/>
      <c r="J7" s="4"/>
      <c r="L7" s="7"/>
      <c r="M7" s="7" t="s">
        <v>14</v>
      </c>
      <c r="N7" s="7" t="s">
        <v>8</v>
      </c>
      <c r="O7" s="7" t="s">
        <v>15</v>
      </c>
      <c r="P7" s="7"/>
      <c r="Q7" s="7"/>
    </row>
    <row r="8" spans="2:17" x14ac:dyDescent="0.25">
      <c r="B8" s="15">
        <v>2</v>
      </c>
      <c r="C8" s="5" t="s">
        <v>214</v>
      </c>
      <c r="D8" s="5"/>
      <c r="E8" s="4" t="s">
        <v>215</v>
      </c>
      <c r="F8" s="4" t="s">
        <v>216</v>
      </c>
      <c r="G8" s="6">
        <v>12450000</v>
      </c>
      <c r="H8" s="4" t="s">
        <v>102</v>
      </c>
      <c r="I8" s="4"/>
      <c r="J8" s="4"/>
      <c r="L8" s="7"/>
      <c r="M8" s="7"/>
      <c r="N8" s="7"/>
      <c r="O8" s="7"/>
      <c r="P8" s="7"/>
      <c r="Q8" s="7"/>
    </row>
    <row r="9" spans="2:17" x14ac:dyDescent="0.25">
      <c r="B9" s="15"/>
      <c r="C9" s="5"/>
      <c r="D9" s="5"/>
      <c r="E9" s="4" t="s">
        <v>217</v>
      </c>
      <c r="F9" s="4" t="s">
        <v>218</v>
      </c>
      <c r="G9" s="6">
        <v>4280000</v>
      </c>
      <c r="H9" s="4" t="s">
        <v>102</v>
      </c>
      <c r="I9" s="4"/>
      <c r="J9" s="4"/>
      <c r="L9" s="7"/>
      <c r="M9" s="7"/>
      <c r="N9" s="7"/>
      <c r="O9" s="7"/>
      <c r="P9" s="7"/>
      <c r="Q9" s="7"/>
    </row>
    <row r="10" spans="2:17" x14ac:dyDescent="0.25">
      <c r="B10" s="15"/>
      <c r="C10" s="5"/>
      <c r="D10" s="5"/>
      <c r="E10" s="17" t="s">
        <v>219</v>
      </c>
      <c r="F10" s="4" t="s">
        <v>220</v>
      </c>
      <c r="G10" s="6">
        <v>275000</v>
      </c>
      <c r="H10" s="4" t="s">
        <v>12</v>
      </c>
      <c r="I10" s="4"/>
      <c r="J10" s="4"/>
    </row>
    <row r="11" spans="2:17" x14ac:dyDescent="0.25">
      <c r="B11" s="15"/>
      <c r="C11" s="5"/>
      <c r="D11" s="5"/>
      <c r="E11" s="4" t="s">
        <v>221</v>
      </c>
      <c r="F11" s="4" t="s">
        <v>222</v>
      </c>
      <c r="G11" s="6">
        <v>3447000</v>
      </c>
      <c r="H11" s="4" t="s">
        <v>22</v>
      </c>
      <c r="I11" s="4"/>
      <c r="J11" s="4"/>
    </row>
    <row r="12" spans="2:17" x14ac:dyDescent="0.25">
      <c r="B12" s="15">
        <v>3</v>
      </c>
      <c r="C12" s="5" t="s">
        <v>223</v>
      </c>
      <c r="D12" s="5"/>
      <c r="E12" s="4" t="s">
        <v>224</v>
      </c>
      <c r="F12" s="4" t="s">
        <v>29</v>
      </c>
      <c r="G12" s="6">
        <v>250000</v>
      </c>
      <c r="H12" s="4" t="s">
        <v>22</v>
      </c>
      <c r="I12" s="4"/>
      <c r="J12" s="4"/>
    </row>
    <row r="13" spans="2:17" ht="15.6" customHeight="1" x14ac:dyDescent="0.25">
      <c r="B13" s="15"/>
      <c r="C13" s="5"/>
      <c r="D13" s="5"/>
      <c r="E13" s="4" t="s">
        <v>215</v>
      </c>
      <c r="F13" s="4" t="s">
        <v>229</v>
      </c>
      <c r="G13" s="6">
        <v>13000000</v>
      </c>
      <c r="H13" s="4" t="s">
        <v>22</v>
      </c>
      <c r="I13" s="4"/>
      <c r="J13" s="4"/>
    </row>
    <row r="14" spans="2:17" x14ac:dyDescent="0.25">
      <c r="B14" s="15">
        <v>4</v>
      </c>
      <c r="C14" s="5" t="s">
        <v>226</v>
      </c>
      <c r="D14" s="5"/>
      <c r="E14" s="4" t="s">
        <v>227</v>
      </c>
      <c r="F14" s="4" t="s">
        <v>228</v>
      </c>
      <c r="G14" s="6">
        <v>2800000</v>
      </c>
      <c r="H14" s="4" t="s">
        <v>102</v>
      </c>
      <c r="I14" s="4"/>
      <c r="J14" s="4"/>
    </row>
    <row r="15" spans="2:17" ht="15.6" customHeight="1" x14ac:dyDescent="0.25">
      <c r="B15" s="15"/>
      <c r="C15" s="5"/>
      <c r="D15" s="5"/>
      <c r="E15" s="4" t="s">
        <v>230</v>
      </c>
      <c r="F15" s="4" t="s">
        <v>231</v>
      </c>
      <c r="G15" s="6">
        <v>825000</v>
      </c>
      <c r="H15" s="4" t="s">
        <v>12</v>
      </c>
      <c r="I15" s="4"/>
      <c r="J15" s="4"/>
    </row>
    <row r="16" spans="2:17" x14ac:dyDescent="0.25">
      <c r="B16" s="15">
        <v>5</v>
      </c>
      <c r="C16" s="5" t="s">
        <v>233</v>
      </c>
      <c r="D16" s="5"/>
      <c r="E16" s="4" t="s">
        <v>234</v>
      </c>
      <c r="F16" s="4" t="s">
        <v>235</v>
      </c>
      <c r="G16" s="6">
        <v>850000</v>
      </c>
      <c r="H16" s="4" t="s">
        <v>12</v>
      </c>
      <c r="I16" s="4"/>
      <c r="J16" s="4"/>
    </row>
    <row r="17" spans="2:10" x14ac:dyDescent="0.25">
      <c r="B17" s="15"/>
      <c r="C17" s="5"/>
      <c r="D17" s="5"/>
      <c r="E17" s="20" t="s">
        <v>162</v>
      </c>
      <c r="F17" s="4" t="s">
        <v>236</v>
      </c>
      <c r="G17" s="6">
        <v>3700000</v>
      </c>
      <c r="H17" s="4" t="s">
        <v>12</v>
      </c>
      <c r="I17" s="4"/>
      <c r="J17" s="4"/>
    </row>
    <row r="18" spans="2:10" x14ac:dyDescent="0.25">
      <c r="B18" s="15">
        <v>6</v>
      </c>
      <c r="C18" s="5" t="s">
        <v>243</v>
      </c>
      <c r="D18" s="5"/>
      <c r="E18" s="4" t="s">
        <v>237</v>
      </c>
      <c r="F18" s="4" t="s">
        <v>238</v>
      </c>
      <c r="G18" s="6">
        <v>2245000</v>
      </c>
      <c r="H18" s="4" t="s">
        <v>12</v>
      </c>
      <c r="I18" s="4"/>
      <c r="J18" s="4"/>
    </row>
    <row r="19" spans="2:10" x14ac:dyDescent="0.25">
      <c r="B19" s="15"/>
      <c r="C19" s="5"/>
      <c r="D19" s="5"/>
      <c r="E19" s="4" t="s">
        <v>239</v>
      </c>
      <c r="F19" s="4" t="s">
        <v>240</v>
      </c>
      <c r="G19" s="6">
        <v>100000</v>
      </c>
      <c r="H19" s="4" t="s">
        <v>12</v>
      </c>
      <c r="I19" s="4"/>
      <c r="J19" s="4"/>
    </row>
    <row r="20" spans="2:10" x14ac:dyDescent="0.25">
      <c r="B20" s="15">
        <v>7</v>
      </c>
      <c r="C20" s="5" t="s">
        <v>254</v>
      </c>
      <c r="D20" s="5"/>
      <c r="E20" s="4" t="s">
        <v>241</v>
      </c>
      <c r="F20" s="4" t="s">
        <v>242</v>
      </c>
      <c r="G20" s="6">
        <v>170000</v>
      </c>
      <c r="H20" s="4" t="s">
        <v>102</v>
      </c>
      <c r="I20" s="4"/>
      <c r="J20" s="4"/>
    </row>
    <row r="21" spans="2:10" x14ac:dyDescent="0.25">
      <c r="B21" s="15"/>
      <c r="C21" s="5"/>
      <c r="D21" s="5"/>
      <c r="E21" s="4" t="s">
        <v>244</v>
      </c>
      <c r="F21" s="4" t="s">
        <v>245</v>
      </c>
      <c r="G21" s="6">
        <v>1725000</v>
      </c>
      <c r="H21" s="4" t="s">
        <v>12</v>
      </c>
      <c r="I21" s="4"/>
      <c r="J21" s="4"/>
    </row>
    <row r="22" spans="2:10" x14ac:dyDescent="0.25">
      <c r="B22" s="15"/>
      <c r="C22" s="5"/>
      <c r="D22" s="5"/>
      <c r="E22" s="4" t="s">
        <v>246</v>
      </c>
      <c r="F22" s="4" t="s">
        <v>247</v>
      </c>
      <c r="G22" s="6">
        <v>2250000</v>
      </c>
      <c r="H22" s="4" t="s">
        <v>12</v>
      </c>
      <c r="I22" s="4"/>
      <c r="J22" s="4"/>
    </row>
    <row r="23" spans="2:10" x14ac:dyDescent="0.25">
      <c r="B23" s="15"/>
      <c r="C23" s="5"/>
      <c r="D23" s="5"/>
      <c r="E23" s="4" t="s">
        <v>248</v>
      </c>
      <c r="F23" s="4" t="s">
        <v>247</v>
      </c>
      <c r="G23" s="6">
        <v>2250000</v>
      </c>
      <c r="H23" s="4" t="s">
        <v>12</v>
      </c>
      <c r="I23" s="4"/>
      <c r="J23" s="4"/>
    </row>
    <row r="24" spans="2:10" x14ac:dyDescent="0.25">
      <c r="B24" s="15">
        <v>8</v>
      </c>
      <c r="C24" s="5" t="s">
        <v>255</v>
      </c>
      <c r="D24" s="5"/>
      <c r="E24" s="4" t="s">
        <v>249</v>
      </c>
      <c r="F24" s="4" t="s">
        <v>260</v>
      </c>
      <c r="G24" s="6">
        <v>100000</v>
      </c>
      <c r="H24" s="4" t="s">
        <v>12</v>
      </c>
      <c r="I24" s="4"/>
      <c r="J24" s="4"/>
    </row>
    <row r="25" spans="2:10" x14ac:dyDescent="0.25">
      <c r="B25" s="15"/>
      <c r="C25" s="5"/>
      <c r="D25" s="5"/>
      <c r="E25" s="4" t="s">
        <v>250</v>
      </c>
      <c r="F25" s="4" t="s">
        <v>260</v>
      </c>
      <c r="G25" s="6">
        <v>100000</v>
      </c>
      <c r="H25" s="4" t="s">
        <v>12</v>
      </c>
      <c r="I25" s="4"/>
      <c r="J25" s="4"/>
    </row>
    <row r="26" spans="2:10" x14ac:dyDescent="0.25">
      <c r="B26" s="15"/>
      <c r="C26" s="5"/>
      <c r="D26" s="5"/>
      <c r="E26" s="4" t="s">
        <v>237</v>
      </c>
      <c r="F26" s="4" t="s">
        <v>260</v>
      </c>
      <c r="G26" s="6">
        <v>100000</v>
      </c>
      <c r="H26" s="4" t="s">
        <v>12</v>
      </c>
      <c r="I26" s="4"/>
      <c r="J26" s="4"/>
    </row>
    <row r="27" spans="2:10" x14ac:dyDescent="0.25">
      <c r="B27" s="15">
        <v>9</v>
      </c>
      <c r="C27" s="5" t="s">
        <v>256</v>
      </c>
      <c r="D27" s="5"/>
      <c r="E27" s="4" t="s">
        <v>251</v>
      </c>
      <c r="F27" s="4" t="s">
        <v>261</v>
      </c>
      <c r="G27" s="6">
        <v>899000</v>
      </c>
      <c r="H27" s="4" t="s">
        <v>12</v>
      </c>
      <c r="I27" s="4"/>
      <c r="J27" s="4"/>
    </row>
    <row r="28" spans="2:10" x14ac:dyDescent="0.25">
      <c r="B28" s="15">
        <v>10</v>
      </c>
      <c r="C28" s="5" t="s">
        <v>257</v>
      </c>
      <c r="D28" s="5"/>
      <c r="E28" s="4" t="s">
        <v>252</v>
      </c>
      <c r="F28" s="4" t="s">
        <v>263</v>
      </c>
      <c r="G28" s="6">
        <v>2950000</v>
      </c>
      <c r="H28" s="4" t="s">
        <v>12</v>
      </c>
      <c r="I28" s="4"/>
      <c r="J28" s="4"/>
    </row>
    <row r="29" spans="2:10" x14ac:dyDescent="0.25">
      <c r="B29" s="15"/>
      <c r="C29" s="5"/>
      <c r="D29" s="5"/>
      <c r="E29" s="4" t="s">
        <v>136</v>
      </c>
      <c r="F29" s="4" t="s">
        <v>262</v>
      </c>
      <c r="G29" s="6">
        <v>13180000</v>
      </c>
      <c r="H29" s="4" t="s">
        <v>12</v>
      </c>
      <c r="I29" s="4"/>
      <c r="J29" s="4"/>
    </row>
    <row r="30" spans="2:10" x14ac:dyDescent="0.25">
      <c r="B30" s="15"/>
      <c r="C30" s="5"/>
      <c r="D30" s="5"/>
      <c r="E30" s="4" t="s">
        <v>89</v>
      </c>
      <c r="F30" s="4" t="s">
        <v>119</v>
      </c>
      <c r="G30" s="6">
        <v>275000</v>
      </c>
      <c r="H30" s="4" t="s">
        <v>12</v>
      </c>
      <c r="I30" s="4"/>
      <c r="J30" s="4"/>
    </row>
    <row r="31" spans="2:10" x14ac:dyDescent="0.25">
      <c r="B31" s="15"/>
      <c r="C31" s="5"/>
      <c r="D31" s="5"/>
      <c r="E31" s="4" t="s">
        <v>234</v>
      </c>
      <c r="F31" s="4" t="s">
        <v>235</v>
      </c>
      <c r="G31" s="6">
        <v>850000</v>
      </c>
      <c r="H31" s="4" t="s">
        <v>12</v>
      </c>
      <c r="I31" s="4"/>
      <c r="J31" s="4"/>
    </row>
    <row r="32" spans="2:10" x14ac:dyDescent="0.25">
      <c r="B32" s="15"/>
      <c r="C32" s="5"/>
      <c r="D32" s="5"/>
      <c r="E32" s="4" t="s">
        <v>258</v>
      </c>
      <c r="F32" s="4" t="s">
        <v>259</v>
      </c>
      <c r="G32" s="6">
        <v>8175000</v>
      </c>
      <c r="H32" s="4" t="s">
        <v>102</v>
      </c>
      <c r="I32" s="4"/>
      <c r="J32" s="4"/>
    </row>
    <row r="33" spans="2:10" x14ac:dyDescent="0.25">
      <c r="B33" s="15">
        <v>11</v>
      </c>
      <c r="C33" s="5" t="s">
        <v>264</v>
      </c>
      <c r="D33" s="5"/>
      <c r="E33" s="4" t="s">
        <v>265</v>
      </c>
      <c r="F33" s="4" t="s">
        <v>266</v>
      </c>
      <c r="G33" s="6">
        <v>777000</v>
      </c>
      <c r="H33" s="4" t="s">
        <v>102</v>
      </c>
      <c r="I33" s="4"/>
      <c r="J33" s="4"/>
    </row>
    <row r="34" spans="2:10" x14ac:dyDescent="0.25">
      <c r="B34" s="15">
        <v>12</v>
      </c>
      <c r="C34" s="5" t="s">
        <v>267</v>
      </c>
      <c r="D34" s="5"/>
      <c r="E34" s="4" t="s">
        <v>268</v>
      </c>
      <c r="F34" s="4" t="s">
        <v>245</v>
      </c>
      <c r="G34" s="6">
        <v>196000</v>
      </c>
      <c r="H34" s="4" t="s">
        <v>12</v>
      </c>
      <c r="I34" s="4"/>
      <c r="J34" s="4"/>
    </row>
    <row r="35" spans="2:10" x14ac:dyDescent="0.25">
      <c r="B35" s="15"/>
      <c r="C35" s="5"/>
      <c r="D35" s="5"/>
      <c r="E35" s="4" t="s">
        <v>269</v>
      </c>
      <c r="F35" s="4" t="s">
        <v>270</v>
      </c>
      <c r="G35" s="6">
        <v>580000</v>
      </c>
      <c r="H35" s="4" t="s">
        <v>12</v>
      </c>
      <c r="I35" s="4"/>
      <c r="J35" s="4"/>
    </row>
    <row r="36" spans="2:10" x14ac:dyDescent="0.25">
      <c r="B36" s="15"/>
      <c r="C36" s="5"/>
      <c r="D36" s="5"/>
      <c r="E36" s="4" t="s">
        <v>86</v>
      </c>
      <c r="F36" s="4" t="s">
        <v>271</v>
      </c>
      <c r="G36" s="6">
        <v>650000</v>
      </c>
      <c r="H36" s="4" t="s">
        <v>12</v>
      </c>
      <c r="I36" s="4"/>
      <c r="J36" s="4"/>
    </row>
    <row r="37" spans="2:10" x14ac:dyDescent="0.25">
      <c r="B37" s="15">
        <v>13</v>
      </c>
      <c r="C37" s="5" t="s">
        <v>273</v>
      </c>
      <c r="D37" s="5"/>
      <c r="E37" s="4" t="s">
        <v>272</v>
      </c>
      <c r="F37" s="4" t="s">
        <v>119</v>
      </c>
      <c r="G37" s="6">
        <v>150000</v>
      </c>
      <c r="H37" s="4" t="s">
        <v>102</v>
      </c>
      <c r="I37" s="4"/>
      <c r="J37" s="4"/>
    </row>
    <row r="38" spans="2:10" x14ac:dyDescent="0.25">
      <c r="B38" s="15"/>
      <c r="C38" s="5"/>
      <c r="D38" s="5"/>
      <c r="E38" s="4" t="s">
        <v>274</v>
      </c>
      <c r="F38" s="4" t="s">
        <v>275</v>
      </c>
      <c r="G38" s="6">
        <v>3515000</v>
      </c>
      <c r="H38" s="4" t="s">
        <v>102</v>
      </c>
      <c r="I38" s="4"/>
      <c r="J38" s="4"/>
    </row>
    <row r="39" spans="2:10" x14ac:dyDescent="0.25">
      <c r="B39" s="15"/>
      <c r="C39" s="5"/>
      <c r="D39" s="5"/>
      <c r="E39" s="4" t="s">
        <v>230</v>
      </c>
      <c r="F39" s="4" t="s">
        <v>253</v>
      </c>
      <c r="G39" s="6">
        <v>650000</v>
      </c>
      <c r="H39" s="4" t="s">
        <v>102</v>
      </c>
      <c r="I39" s="4"/>
      <c r="J39" s="4"/>
    </row>
    <row r="40" spans="2:10" x14ac:dyDescent="0.25">
      <c r="B40" s="15"/>
      <c r="C40" s="5"/>
      <c r="D40" s="5"/>
      <c r="E40" s="4" t="s">
        <v>276</v>
      </c>
      <c r="F40" s="4" t="s">
        <v>277</v>
      </c>
      <c r="G40" s="6">
        <v>2835000</v>
      </c>
      <c r="H40" s="4" t="s">
        <v>12</v>
      </c>
      <c r="I40" s="4"/>
      <c r="J40" s="4"/>
    </row>
    <row r="41" spans="2:10" x14ac:dyDescent="0.25">
      <c r="B41" s="15">
        <v>14</v>
      </c>
      <c r="C41" s="5" t="s">
        <v>285</v>
      </c>
      <c r="D41" s="5"/>
      <c r="E41" s="4" t="s">
        <v>130</v>
      </c>
      <c r="F41" s="4" t="s">
        <v>278</v>
      </c>
      <c r="G41" s="6">
        <v>4765000</v>
      </c>
      <c r="H41" s="4" t="s">
        <v>12</v>
      </c>
      <c r="I41" s="4"/>
      <c r="J41" s="4"/>
    </row>
    <row r="42" spans="2:10" x14ac:dyDescent="0.25">
      <c r="B42" s="15"/>
      <c r="C42" s="5"/>
      <c r="D42" s="5"/>
      <c r="E42" s="4" t="s">
        <v>279</v>
      </c>
      <c r="F42" s="4" t="s">
        <v>280</v>
      </c>
      <c r="G42" s="6">
        <v>3950000</v>
      </c>
      <c r="H42" s="4" t="s">
        <v>102</v>
      </c>
      <c r="I42" s="4"/>
      <c r="J42" s="4"/>
    </row>
    <row r="43" spans="2:10" x14ac:dyDescent="0.25">
      <c r="B43" s="15"/>
      <c r="C43" s="5"/>
      <c r="D43" s="5"/>
      <c r="E43" s="4" t="s">
        <v>281</v>
      </c>
      <c r="F43" s="4" t="s">
        <v>284</v>
      </c>
      <c r="G43" s="6">
        <v>250000</v>
      </c>
      <c r="H43" s="4" t="s">
        <v>102</v>
      </c>
      <c r="I43" s="4"/>
      <c r="J43" s="4"/>
    </row>
    <row r="44" spans="2:10" x14ac:dyDescent="0.25">
      <c r="B44" s="15">
        <v>15</v>
      </c>
      <c r="C44" s="5" t="s">
        <v>286</v>
      </c>
      <c r="D44" s="5"/>
      <c r="E44" s="4" t="s">
        <v>282</v>
      </c>
      <c r="F44" s="4" t="s">
        <v>277</v>
      </c>
      <c r="G44" s="6">
        <v>1675000</v>
      </c>
      <c r="H44" s="4" t="s">
        <v>102</v>
      </c>
      <c r="I44" s="4"/>
      <c r="J44" s="4"/>
    </row>
    <row r="45" spans="2:10" x14ac:dyDescent="0.25">
      <c r="B45" s="15"/>
      <c r="C45" s="5"/>
      <c r="D45" s="5"/>
      <c r="E45" s="4" t="s">
        <v>230</v>
      </c>
      <c r="F45" s="4" t="s">
        <v>283</v>
      </c>
      <c r="G45" s="6">
        <v>250000</v>
      </c>
      <c r="H45" s="4" t="s">
        <v>102</v>
      </c>
      <c r="I45" s="4"/>
      <c r="J45" s="4"/>
    </row>
    <row r="46" spans="2:10" x14ac:dyDescent="0.25">
      <c r="B46" s="15"/>
      <c r="C46" s="5"/>
      <c r="D46" s="5"/>
      <c r="E46" s="4" t="s">
        <v>234</v>
      </c>
      <c r="F46" s="4" t="s">
        <v>119</v>
      </c>
      <c r="G46" s="6">
        <v>250000</v>
      </c>
      <c r="H46" s="4" t="s">
        <v>102</v>
      </c>
      <c r="I46" s="4"/>
      <c r="J46" s="4"/>
    </row>
    <row r="47" spans="2:10" x14ac:dyDescent="0.25">
      <c r="B47" s="15"/>
      <c r="C47" s="5"/>
      <c r="D47" s="5"/>
      <c r="E47" s="4" t="s">
        <v>250</v>
      </c>
      <c r="F47" s="4" t="s">
        <v>297</v>
      </c>
      <c r="G47" s="6">
        <v>7340000</v>
      </c>
      <c r="H47" s="4" t="s">
        <v>12</v>
      </c>
      <c r="I47" s="4"/>
      <c r="J47" s="4"/>
    </row>
    <row r="48" spans="2:10" x14ac:dyDescent="0.25">
      <c r="B48" s="15">
        <v>16</v>
      </c>
      <c r="C48" s="5" t="s">
        <v>303</v>
      </c>
      <c r="D48" s="5"/>
      <c r="E48" s="4" t="s">
        <v>265</v>
      </c>
      <c r="F48" s="4" t="s">
        <v>287</v>
      </c>
      <c r="G48" s="6">
        <v>5080000</v>
      </c>
      <c r="H48" s="4" t="s">
        <v>12</v>
      </c>
      <c r="I48" s="4"/>
      <c r="J48" s="4"/>
    </row>
    <row r="49" spans="2:10" x14ac:dyDescent="0.25">
      <c r="B49" s="15"/>
      <c r="C49" s="5"/>
      <c r="D49" s="5"/>
      <c r="E49" s="4" t="s">
        <v>288</v>
      </c>
      <c r="F49" s="4" t="s">
        <v>289</v>
      </c>
      <c r="G49" s="6">
        <v>12853000</v>
      </c>
      <c r="H49" s="4" t="s">
        <v>102</v>
      </c>
      <c r="I49" s="4"/>
      <c r="J49" s="4"/>
    </row>
    <row r="50" spans="2:10" x14ac:dyDescent="0.25">
      <c r="B50" s="15"/>
      <c r="C50" s="5"/>
      <c r="D50" s="5"/>
      <c r="E50" s="4" t="s">
        <v>291</v>
      </c>
      <c r="F50" s="4" t="s">
        <v>290</v>
      </c>
      <c r="G50" s="6">
        <v>850000</v>
      </c>
      <c r="H50" s="4" t="s">
        <v>102</v>
      </c>
      <c r="I50" s="4"/>
      <c r="J50" s="4"/>
    </row>
    <row r="51" spans="2:10" x14ac:dyDescent="0.25">
      <c r="B51" s="15"/>
      <c r="C51" s="5"/>
      <c r="D51" s="5"/>
      <c r="E51" s="4" t="s">
        <v>39</v>
      </c>
      <c r="F51" s="4" t="s">
        <v>292</v>
      </c>
      <c r="G51" s="6">
        <v>1650000</v>
      </c>
      <c r="H51" s="4" t="s">
        <v>102</v>
      </c>
      <c r="I51" s="4"/>
      <c r="J51" s="4"/>
    </row>
    <row r="52" spans="2:10" x14ac:dyDescent="0.25">
      <c r="B52" s="15"/>
      <c r="C52" s="5"/>
      <c r="D52" s="5"/>
      <c r="E52" s="4" t="s">
        <v>232</v>
      </c>
      <c r="F52" s="4" t="s">
        <v>293</v>
      </c>
      <c r="G52" s="6"/>
      <c r="H52" s="4" t="s">
        <v>12</v>
      </c>
      <c r="I52" s="4"/>
      <c r="J52" s="4"/>
    </row>
    <row r="53" spans="2:10" x14ac:dyDescent="0.25">
      <c r="B53" s="15">
        <v>17</v>
      </c>
      <c r="C53" s="5" t="s">
        <v>304</v>
      </c>
      <c r="D53" s="5"/>
      <c r="E53" s="4" t="s">
        <v>298</v>
      </c>
      <c r="F53" s="4" t="s">
        <v>299</v>
      </c>
      <c r="G53" s="6">
        <v>275000</v>
      </c>
      <c r="H53" s="4" t="s">
        <v>12</v>
      </c>
      <c r="I53" s="4"/>
      <c r="J53" s="4"/>
    </row>
    <row r="54" spans="2:10" x14ac:dyDescent="0.25">
      <c r="B54" s="15"/>
      <c r="C54" s="5"/>
      <c r="D54" s="5"/>
      <c r="E54" s="4" t="s">
        <v>300</v>
      </c>
      <c r="F54" s="4" t="s">
        <v>29</v>
      </c>
      <c r="G54" s="6">
        <v>195000</v>
      </c>
      <c r="H54" s="4" t="s">
        <v>12</v>
      </c>
      <c r="I54" s="4"/>
      <c r="J54" s="4"/>
    </row>
    <row r="55" spans="2:10" x14ac:dyDescent="0.25">
      <c r="B55" s="15"/>
      <c r="C55" s="5"/>
      <c r="D55" s="5"/>
      <c r="E55" s="4" t="s">
        <v>239</v>
      </c>
      <c r="F55" s="4" t="s">
        <v>301</v>
      </c>
      <c r="G55" s="6">
        <v>190000</v>
      </c>
      <c r="H55" s="4" t="s">
        <v>12</v>
      </c>
      <c r="I55" s="4"/>
      <c r="J55" s="4"/>
    </row>
    <row r="56" spans="2:10" x14ac:dyDescent="0.25">
      <c r="B56" s="15"/>
      <c r="C56" s="5"/>
      <c r="D56" s="5"/>
      <c r="E56" s="4" t="s">
        <v>250</v>
      </c>
      <c r="F56" s="4" t="s">
        <v>245</v>
      </c>
      <c r="G56" s="6">
        <v>200000</v>
      </c>
      <c r="H56" s="4" t="s">
        <v>12</v>
      </c>
      <c r="I56" s="4"/>
      <c r="J56" s="4"/>
    </row>
    <row r="57" spans="2:10" x14ac:dyDescent="0.25">
      <c r="B57" s="15">
        <v>18</v>
      </c>
      <c r="C57" s="5" t="s">
        <v>302</v>
      </c>
      <c r="D57" s="5"/>
      <c r="E57" s="4" t="s">
        <v>136</v>
      </c>
      <c r="F57" s="4" t="s">
        <v>29</v>
      </c>
      <c r="G57" s="6">
        <v>1265000</v>
      </c>
      <c r="H57" s="4" t="s">
        <v>12</v>
      </c>
      <c r="I57" s="4"/>
      <c r="J57" s="4"/>
    </row>
    <row r="58" spans="2:10" x14ac:dyDescent="0.25">
      <c r="B58" s="15"/>
      <c r="C58" s="5"/>
      <c r="D58" s="5"/>
      <c r="E58" s="4"/>
      <c r="F58" s="4"/>
      <c r="G58" s="6"/>
      <c r="H58" s="4"/>
      <c r="I58" s="4"/>
      <c r="J58" s="4"/>
    </row>
    <row r="59" spans="2:10" x14ac:dyDescent="0.25">
      <c r="B59" s="15"/>
      <c r="C59" s="5"/>
      <c r="D59" s="5"/>
      <c r="E59" s="4"/>
      <c r="F59" s="4"/>
      <c r="G59" s="6"/>
      <c r="H59" s="4"/>
      <c r="I59" s="4"/>
      <c r="J59" s="4"/>
    </row>
    <row r="60" spans="2:10" x14ac:dyDescent="0.25">
      <c r="B60" s="15"/>
      <c r="C60" s="5"/>
      <c r="D60" s="5"/>
      <c r="E60" s="4"/>
      <c r="F60" s="4"/>
      <c r="G60" s="6"/>
      <c r="H60" s="4"/>
      <c r="I60" s="4"/>
      <c r="J60" s="4"/>
    </row>
    <row r="61" spans="2:10" x14ac:dyDescent="0.25">
      <c r="B61" s="15"/>
      <c r="C61" s="5"/>
      <c r="D61" s="5"/>
      <c r="E61" s="4"/>
      <c r="F61" s="4"/>
      <c r="G61" s="6"/>
      <c r="H61" s="4"/>
      <c r="I61" s="4"/>
      <c r="J61" s="4"/>
    </row>
    <row r="62" spans="2:10" x14ac:dyDescent="0.25">
      <c r="B62" s="15"/>
      <c r="C62" s="5"/>
      <c r="D62" s="5"/>
      <c r="E62" s="4"/>
      <c r="F62" s="4"/>
      <c r="G62" s="6"/>
      <c r="H62" s="4"/>
      <c r="I62" s="4"/>
      <c r="J62" s="4"/>
    </row>
    <row r="63" spans="2:10" x14ac:dyDescent="0.25">
      <c r="B63" s="15"/>
      <c r="C63" s="5"/>
      <c r="D63" s="5"/>
      <c r="E63" s="4"/>
      <c r="F63" s="4"/>
      <c r="G63" s="6"/>
      <c r="H63" s="4"/>
      <c r="I63" s="4"/>
      <c r="J63" s="4"/>
    </row>
    <row r="64" spans="2:10" x14ac:dyDescent="0.25">
      <c r="B64" s="15"/>
      <c r="C64" s="5"/>
      <c r="D64" s="5"/>
      <c r="E64" s="4"/>
      <c r="F64" s="4"/>
      <c r="G64" s="6"/>
      <c r="H64" s="4"/>
      <c r="I64" s="4"/>
      <c r="J64" s="4"/>
    </row>
    <row r="65" spans="2:10" x14ac:dyDescent="0.25">
      <c r="B65" s="15"/>
      <c r="C65" s="5"/>
      <c r="D65" s="5"/>
      <c r="E65" s="4"/>
      <c r="F65" s="4"/>
      <c r="G65" s="6"/>
      <c r="H65" s="4"/>
      <c r="I65" s="4"/>
      <c r="J65" s="4"/>
    </row>
    <row r="66" spans="2:10" x14ac:dyDescent="0.25">
      <c r="B66" s="15"/>
      <c r="C66" s="5"/>
      <c r="D66" s="5"/>
      <c r="E66" s="4"/>
      <c r="F66" s="4"/>
      <c r="G66" s="6"/>
      <c r="H66" s="4"/>
      <c r="I66" s="4"/>
      <c r="J66" s="4"/>
    </row>
    <row r="67" spans="2:10" x14ac:dyDescent="0.25">
      <c r="B67" s="15"/>
      <c r="C67" s="5"/>
      <c r="D67" s="5"/>
      <c r="E67" s="4"/>
      <c r="F67" s="4"/>
      <c r="G67" s="6"/>
      <c r="H67" s="4"/>
      <c r="I67" s="4"/>
      <c r="J67" s="4"/>
    </row>
    <row r="68" spans="2:10" x14ac:dyDescent="0.25">
      <c r="B68" s="15"/>
      <c r="C68" s="5"/>
      <c r="D68" s="5"/>
      <c r="E68" s="4"/>
      <c r="F68" s="4"/>
      <c r="G68" s="6"/>
      <c r="H68" s="4"/>
      <c r="I68" s="4"/>
      <c r="J68" s="4"/>
    </row>
    <row r="69" spans="2:10" x14ac:dyDescent="0.25">
      <c r="B69" s="15"/>
      <c r="C69" s="5"/>
      <c r="D69" s="5"/>
      <c r="E69" s="4"/>
      <c r="F69" s="4"/>
      <c r="G69" s="6"/>
      <c r="H69" s="4"/>
      <c r="I69" s="4"/>
      <c r="J69" s="4"/>
    </row>
    <row r="70" spans="2:10" x14ac:dyDescent="0.25">
      <c r="B70" s="15"/>
      <c r="C70" s="5"/>
      <c r="D70" s="5"/>
      <c r="E70" s="4"/>
      <c r="F70" s="4"/>
      <c r="G70" s="6"/>
      <c r="H70" s="4"/>
      <c r="I70" s="4"/>
      <c r="J70" s="4"/>
    </row>
    <row r="71" spans="2:10" x14ac:dyDescent="0.25">
      <c r="G71" s="16">
        <f>SUM(G5:G70)</f>
        <v>133187000</v>
      </c>
    </row>
  </sheetData>
  <mergeCells count="2">
    <mergeCell ref="B2:J2"/>
    <mergeCell ref="M4:Q4"/>
  </mergeCells>
  <phoneticPr fontId="4" type="noConversion"/>
  <conditionalFormatting sqref="H5:H70">
    <cfRule type="containsText" dxfId="5" priority="1" operator="containsText" text="DIBAYAR">
      <formula>NOT(ISERROR(SEARCH("DIBAYAR",H5)))</formula>
    </cfRule>
    <cfRule type="containsText" dxfId="4" priority="2" operator="containsText" text="DITAGIH">
      <formula>NOT(ISERROR(SEARCH("DITAGIH",H5)))</formula>
    </cfRule>
    <cfRule type="containsText" dxfId="3" priority="3" operator="containsText" text="DIBUAT">
      <formula>NOT(ISERROR(SEARCH("DIBUAT",H5)))</formula>
    </cfRule>
  </conditionalFormatting>
  <dataValidations count="2">
    <dataValidation type="list" allowBlank="1" showInputMessage="1" showErrorMessage="1" sqref="I5:I70" xr:uid="{B03ED550-A901-4976-BC2F-1D6468F9DB7D}">
      <formula1>"TUNAI,TRANSFER"</formula1>
    </dataValidation>
    <dataValidation type="list" allowBlank="1" showInputMessage="1" showErrorMessage="1" sqref="H5:H70" xr:uid="{D40D73DF-17D8-4369-B0DF-04510FA59EB8}">
      <formula1>"DIBUAT,DITAGIH,DIBAYAR"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939B-851E-445D-9553-B16A266BF0DD}">
  <dimension ref="B2:Q70"/>
  <sheetViews>
    <sheetView tabSelected="1" topLeftCell="D1" zoomScale="98" zoomScaleNormal="98" workbookViewId="0">
      <selection activeCell="H14" sqref="H14"/>
    </sheetView>
  </sheetViews>
  <sheetFormatPr defaultColWidth="9.140625" defaultRowHeight="15" x14ac:dyDescent="0.25"/>
  <cols>
    <col min="1" max="1" width="9.140625" style="1"/>
    <col min="2" max="2" width="4.5703125" style="14" customWidth="1"/>
    <col min="3" max="3" width="19.42578125" style="2" customWidth="1"/>
    <col min="4" max="4" width="39.7109375" style="2" customWidth="1"/>
    <col min="5" max="5" width="35.5703125" style="1" customWidth="1"/>
    <col min="6" max="6" width="74.7109375" style="1" customWidth="1"/>
    <col min="7" max="7" width="27.42578125" style="3" customWidth="1"/>
    <col min="8" max="9" width="22" style="1" customWidth="1"/>
    <col min="10" max="10" width="51.42578125" style="1" customWidth="1"/>
    <col min="11" max="11" width="9.140625" style="1"/>
    <col min="12" max="12" width="3.5703125" style="1" customWidth="1"/>
    <col min="13" max="13" width="17.5703125" style="1" customWidth="1"/>
    <col min="14" max="14" width="1.42578125" style="1" customWidth="1"/>
    <col min="15" max="17" width="9.140625" style="1"/>
    <col min="18" max="18" width="3.5703125" style="1" customWidth="1"/>
    <col min="19" max="16384" width="9.140625" style="1"/>
  </cols>
  <sheetData>
    <row r="2" spans="2:17" ht="22.5" x14ac:dyDescent="0.25">
      <c r="B2" s="24" t="s">
        <v>208</v>
      </c>
      <c r="C2" s="24"/>
      <c r="D2" s="24"/>
      <c r="E2" s="24"/>
      <c r="F2" s="24"/>
      <c r="G2" s="24"/>
      <c r="H2" s="24"/>
      <c r="I2" s="24"/>
      <c r="J2" s="24"/>
    </row>
    <row r="4" spans="2:17" s="12" customFormat="1" ht="27.75" customHeight="1" x14ac:dyDescent="0.25">
      <c r="B4" s="8" t="s">
        <v>0</v>
      </c>
      <c r="C4" s="9" t="s">
        <v>1</v>
      </c>
      <c r="D4" s="10" t="s">
        <v>9</v>
      </c>
      <c r="E4" s="8" t="s">
        <v>2</v>
      </c>
      <c r="F4" s="8" t="s">
        <v>3</v>
      </c>
      <c r="G4" s="11" t="s">
        <v>4</v>
      </c>
      <c r="H4" s="8" t="s">
        <v>13</v>
      </c>
      <c r="I4" s="8" t="s">
        <v>11</v>
      </c>
      <c r="J4" s="8" t="s">
        <v>6</v>
      </c>
      <c r="L4" s="13"/>
      <c r="M4" s="23" t="s">
        <v>7</v>
      </c>
      <c r="N4" s="23"/>
      <c r="O4" s="23"/>
      <c r="P4" s="23"/>
      <c r="Q4" s="23"/>
    </row>
    <row r="5" spans="2:17" x14ac:dyDescent="0.25">
      <c r="B5" s="15">
        <v>1</v>
      </c>
      <c r="C5" s="5" t="s">
        <v>294</v>
      </c>
      <c r="D5" s="5"/>
      <c r="E5" s="4" t="s">
        <v>250</v>
      </c>
      <c r="F5" s="4" t="s">
        <v>295</v>
      </c>
      <c r="G5" s="6">
        <v>7630000</v>
      </c>
      <c r="H5" s="4" t="s">
        <v>12</v>
      </c>
      <c r="I5" s="4"/>
      <c r="J5" s="4"/>
      <c r="L5" s="7"/>
      <c r="M5" s="7" t="s">
        <v>9</v>
      </c>
      <c r="N5" s="7" t="s">
        <v>8</v>
      </c>
      <c r="O5" s="7" t="s">
        <v>17</v>
      </c>
      <c r="P5" s="7"/>
      <c r="Q5" s="7"/>
    </row>
    <row r="6" spans="2:17" x14ac:dyDescent="0.25">
      <c r="B6" s="15"/>
      <c r="C6" s="5"/>
      <c r="D6" s="5"/>
      <c r="E6" s="4" t="s">
        <v>296</v>
      </c>
      <c r="F6" s="4" t="s">
        <v>29</v>
      </c>
      <c r="G6" s="6">
        <v>250000</v>
      </c>
      <c r="H6" s="4" t="s">
        <v>12</v>
      </c>
      <c r="I6" s="4"/>
      <c r="J6" s="4"/>
      <c r="L6" s="7"/>
      <c r="M6" s="7" t="s">
        <v>5</v>
      </c>
      <c r="N6" s="7" t="s">
        <v>8</v>
      </c>
      <c r="O6" s="7" t="s">
        <v>10</v>
      </c>
      <c r="P6" s="7"/>
      <c r="Q6" s="7"/>
    </row>
    <row r="7" spans="2:17" x14ac:dyDescent="0.25">
      <c r="B7" s="15"/>
      <c r="C7" s="5" t="s">
        <v>305</v>
      </c>
      <c r="D7" s="5"/>
      <c r="E7" s="4" t="s">
        <v>306</v>
      </c>
      <c r="F7" s="4" t="s">
        <v>307</v>
      </c>
      <c r="G7" s="6">
        <v>495000</v>
      </c>
      <c r="H7" s="4" t="s">
        <v>12</v>
      </c>
      <c r="I7" s="4"/>
      <c r="J7" s="4"/>
      <c r="L7" s="7"/>
      <c r="M7" s="7" t="s">
        <v>14</v>
      </c>
      <c r="N7" s="7" t="s">
        <v>8</v>
      </c>
      <c r="O7" s="7" t="s">
        <v>15</v>
      </c>
      <c r="P7" s="7"/>
      <c r="Q7" s="7"/>
    </row>
    <row r="8" spans="2:17" x14ac:dyDescent="0.25">
      <c r="B8" s="15"/>
      <c r="C8" s="5"/>
      <c r="D8" s="5"/>
      <c r="E8" s="4" t="s">
        <v>114</v>
      </c>
      <c r="F8" s="4" t="s">
        <v>308</v>
      </c>
      <c r="G8" s="6">
        <v>275000</v>
      </c>
      <c r="H8" s="4" t="s">
        <v>12</v>
      </c>
      <c r="I8" s="4"/>
      <c r="J8" s="4"/>
      <c r="L8" s="7"/>
      <c r="M8" s="7"/>
      <c r="N8" s="7"/>
      <c r="O8" s="7"/>
      <c r="P8" s="7"/>
      <c r="Q8" s="7"/>
    </row>
    <row r="9" spans="2:17" x14ac:dyDescent="0.25">
      <c r="B9" s="15"/>
      <c r="C9" s="5"/>
      <c r="D9" s="5"/>
      <c r="E9" s="4" t="s">
        <v>309</v>
      </c>
      <c r="F9" s="4" t="s">
        <v>310</v>
      </c>
      <c r="G9" s="6">
        <v>2980000</v>
      </c>
      <c r="H9" s="4" t="s">
        <v>12</v>
      </c>
      <c r="I9" s="4"/>
      <c r="J9" s="4"/>
      <c r="L9" s="7"/>
      <c r="M9" s="7"/>
      <c r="N9" s="7"/>
      <c r="O9" s="7"/>
      <c r="P9" s="7"/>
      <c r="Q9" s="7"/>
    </row>
    <row r="10" spans="2:17" x14ac:dyDescent="0.25">
      <c r="B10" s="15"/>
      <c r="C10" s="5"/>
      <c r="D10" s="5"/>
      <c r="E10" s="22" t="s">
        <v>311</v>
      </c>
      <c r="F10" s="4" t="s">
        <v>312</v>
      </c>
      <c r="G10" s="6">
        <v>10355000</v>
      </c>
      <c r="H10" s="4" t="s">
        <v>12</v>
      </c>
      <c r="I10" s="4"/>
      <c r="J10" s="4"/>
    </row>
    <row r="11" spans="2:17" x14ac:dyDescent="0.25">
      <c r="B11" s="15"/>
      <c r="C11" s="5"/>
      <c r="D11" s="5"/>
      <c r="E11" s="4" t="s">
        <v>258</v>
      </c>
      <c r="F11" s="4" t="s">
        <v>313</v>
      </c>
      <c r="G11" s="6">
        <v>230000</v>
      </c>
      <c r="H11" s="4" t="s">
        <v>12</v>
      </c>
      <c r="I11" s="4"/>
      <c r="J11" s="4"/>
    </row>
    <row r="12" spans="2:17" x14ac:dyDescent="0.25">
      <c r="B12" s="15"/>
      <c r="C12" s="5"/>
      <c r="D12" s="5"/>
      <c r="E12" s="4" t="s">
        <v>314</v>
      </c>
      <c r="F12" s="4" t="s">
        <v>119</v>
      </c>
      <c r="G12" s="6">
        <v>100000</v>
      </c>
      <c r="H12" s="4" t="s">
        <v>12</v>
      </c>
      <c r="I12" s="4"/>
      <c r="J12" s="4"/>
    </row>
    <row r="13" spans="2:17" ht="15.6" customHeight="1" x14ac:dyDescent="0.25">
      <c r="B13" s="15"/>
      <c r="C13" s="5" t="s">
        <v>315</v>
      </c>
      <c r="D13" s="5"/>
      <c r="E13" s="4" t="s">
        <v>316</v>
      </c>
      <c r="F13" s="4" t="s">
        <v>317</v>
      </c>
      <c r="G13" s="6">
        <v>1150000</v>
      </c>
      <c r="H13" s="4" t="s">
        <v>12</v>
      </c>
      <c r="I13" s="4"/>
      <c r="J13" s="4"/>
    </row>
    <row r="14" spans="2:17" x14ac:dyDescent="0.25">
      <c r="B14" s="15"/>
      <c r="C14" s="5"/>
      <c r="D14" s="5"/>
      <c r="E14" s="4" t="s">
        <v>197</v>
      </c>
      <c r="F14" s="4" t="s">
        <v>318</v>
      </c>
      <c r="G14" s="6">
        <v>470000</v>
      </c>
      <c r="H14" s="4" t="s">
        <v>12</v>
      </c>
      <c r="I14" s="4"/>
      <c r="J14" s="4"/>
    </row>
    <row r="15" spans="2:17" ht="15.6" customHeight="1" x14ac:dyDescent="0.25">
      <c r="B15" s="15"/>
      <c r="C15" s="5"/>
      <c r="D15" s="5"/>
      <c r="E15" s="4"/>
      <c r="F15" s="4"/>
      <c r="G15" s="6"/>
      <c r="H15" s="4"/>
      <c r="I15" s="4"/>
      <c r="J15" s="4"/>
    </row>
    <row r="16" spans="2:17" x14ac:dyDescent="0.25">
      <c r="B16" s="15"/>
      <c r="C16" s="5"/>
      <c r="D16" s="5"/>
      <c r="E16" s="4"/>
      <c r="F16" s="4"/>
      <c r="G16" s="6"/>
      <c r="H16" s="4"/>
      <c r="I16" s="4"/>
      <c r="J16" s="4"/>
    </row>
    <row r="17" spans="2:10" x14ac:dyDescent="0.25">
      <c r="B17" s="15"/>
      <c r="C17" s="5"/>
      <c r="D17" s="5"/>
      <c r="E17" s="20"/>
      <c r="F17" s="4"/>
      <c r="G17" s="6"/>
      <c r="H17" s="4"/>
      <c r="I17" s="4"/>
      <c r="J17" s="4"/>
    </row>
    <row r="18" spans="2:10" x14ac:dyDescent="0.25">
      <c r="B18" s="15"/>
      <c r="C18" s="5"/>
      <c r="D18" s="5"/>
      <c r="E18" s="4"/>
      <c r="F18" s="4"/>
      <c r="G18" s="6"/>
      <c r="H18" s="4"/>
      <c r="I18" s="4"/>
      <c r="J18" s="4"/>
    </row>
    <row r="19" spans="2:10" x14ac:dyDescent="0.25">
      <c r="B19" s="15"/>
      <c r="C19" s="5"/>
      <c r="D19" s="5"/>
      <c r="E19" s="4"/>
      <c r="F19" s="4"/>
      <c r="G19" s="6"/>
      <c r="H19" s="4"/>
      <c r="I19" s="4"/>
      <c r="J19" s="4"/>
    </row>
    <row r="20" spans="2:10" x14ac:dyDescent="0.25">
      <c r="B20" s="15"/>
      <c r="C20" s="5"/>
      <c r="D20" s="5"/>
      <c r="E20" s="4"/>
      <c r="F20" s="4"/>
      <c r="G20" s="6"/>
      <c r="H20" s="4"/>
      <c r="I20" s="4"/>
      <c r="J20" s="4"/>
    </row>
    <row r="21" spans="2:10" x14ac:dyDescent="0.25">
      <c r="B21" s="15"/>
      <c r="C21" s="5"/>
      <c r="D21" s="5"/>
      <c r="E21" s="4"/>
      <c r="F21" s="4"/>
      <c r="G21" s="6"/>
      <c r="H21" s="4"/>
      <c r="I21" s="4"/>
      <c r="J21" s="4"/>
    </row>
    <row r="22" spans="2:10" x14ac:dyDescent="0.25">
      <c r="B22" s="15"/>
      <c r="C22" s="5"/>
      <c r="D22" s="5"/>
      <c r="E22" s="4"/>
      <c r="F22" s="4"/>
      <c r="G22" s="6"/>
      <c r="H22" s="4"/>
      <c r="I22" s="4"/>
      <c r="J22" s="4"/>
    </row>
    <row r="23" spans="2:10" x14ac:dyDescent="0.25">
      <c r="B23" s="15"/>
      <c r="C23" s="5"/>
      <c r="D23" s="5"/>
      <c r="E23" s="4"/>
      <c r="F23" s="4"/>
      <c r="G23" s="6"/>
      <c r="H23" s="4"/>
      <c r="I23" s="4"/>
      <c r="J23" s="4"/>
    </row>
    <row r="24" spans="2:10" x14ac:dyDescent="0.25">
      <c r="B24" s="15"/>
      <c r="C24" s="5"/>
      <c r="D24" s="5"/>
      <c r="E24" s="4"/>
      <c r="F24" s="4"/>
      <c r="G24" s="6"/>
      <c r="H24" s="4"/>
      <c r="I24" s="4"/>
      <c r="J24" s="4"/>
    </row>
    <row r="25" spans="2:10" x14ac:dyDescent="0.25">
      <c r="B25" s="15"/>
      <c r="C25" s="5"/>
      <c r="D25" s="5"/>
      <c r="E25" s="4"/>
      <c r="F25" s="4"/>
      <c r="G25" s="6"/>
      <c r="H25" s="4"/>
      <c r="I25" s="4"/>
      <c r="J25" s="4"/>
    </row>
    <row r="26" spans="2:10" x14ac:dyDescent="0.25">
      <c r="B26" s="15"/>
      <c r="C26" s="5"/>
      <c r="D26" s="5"/>
      <c r="E26" s="4"/>
      <c r="F26" s="4"/>
      <c r="G26" s="6"/>
      <c r="H26" s="4"/>
      <c r="I26" s="4"/>
      <c r="J26" s="4"/>
    </row>
    <row r="27" spans="2:10" x14ac:dyDescent="0.25">
      <c r="B27" s="15"/>
      <c r="C27" s="5"/>
      <c r="D27" s="5"/>
      <c r="E27" s="4"/>
      <c r="F27" s="4"/>
      <c r="G27" s="6"/>
      <c r="H27" s="4"/>
      <c r="I27" s="4"/>
      <c r="J27" s="4"/>
    </row>
    <row r="28" spans="2:10" x14ac:dyDescent="0.25">
      <c r="B28" s="15"/>
      <c r="C28" s="5"/>
      <c r="D28" s="5"/>
      <c r="E28" s="4"/>
      <c r="F28" s="4"/>
      <c r="G28" s="6"/>
      <c r="H28" s="4"/>
      <c r="I28" s="4"/>
      <c r="J28" s="4"/>
    </row>
    <row r="29" spans="2:10" x14ac:dyDescent="0.25">
      <c r="B29" s="15"/>
      <c r="C29" s="5"/>
      <c r="D29" s="5"/>
      <c r="E29" s="4"/>
      <c r="F29" s="4"/>
      <c r="G29" s="6"/>
      <c r="H29" s="4"/>
      <c r="I29" s="4"/>
      <c r="J29" s="4"/>
    </row>
    <row r="30" spans="2:10" x14ac:dyDescent="0.25">
      <c r="B30" s="15"/>
      <c r="C30" s="5"/>
      <c r="D30" s="5"/>
      <c r="E30" s="4"/>
      <c r="F30" s="4"/>
      <c r="G30" s="6"/>
      <c r="H30" s="4"/>
      <c r="I30" s="4"/>
      <c r="J30" s="4"/>
    </row>
    <row r="31" spans="2:10" x14ac:dyDescent="0.25">
      <c r="B31" s="15"/>
      <c r="C31" s="5"/>
      <c r="D31" s="5"/>
      <c r="E31" s="4"/>
      <c r="F31" s="4"/>
      <c r="G31" s="6"/>
      <c r="H31" s="4"/>
      <c r="I31" s="4"/>
      <c r="J31" s="4"/>
    </row>
    <row r="32" spans="2:10" x14ac:dyDescent="0.25">
      <c r="B32" s="15"/>
      <c r="C32" s="5"/>
      <c r="D32" s="5"/>
      <c r="E32" s="4"/>
      <c r="F32" s="4"/>
      <c r="G32" s="6"/>
      <c r="H32" s="4"/>
      <c r="I32" s="4"/>
      <c r="J32" s="4"/>
    </row>
    <row r="33" spans="2:10" x14ac:dyDescent="0.25">
      <c r="B33" s="15"/>
      <c r="C33" s="5"/>
      <c r="D33" s="5"/>
      <c r="E33" s="4"/>
      <c r="F33" s="4"/>
      <c r="G33" s="6"/>
      <c r="H33" s="4"/>
      <c r="I33" s="4"/>
      <c r="J33" s="4"/>
    </row>
    <row r="34" spans="2:10" x14ac:dyDescent="0.25">
      <c r="B34" s="15"/>
      <c r="C34" s="5"/>
      <c r="D34" s="5"/>
      <c r="E34" s="4"/>
      <c r="F34" s="4"/>
      <c r="G34" s="6"/>
      <c r="H34" s="4"/>
      <c r="I34" s="4"/>
      <c r="J34" s="4"/>
    </row>
    <row r="35" spans="2:10" x14ac:dyDescent="0.25">
      <c r="B35" s="15"/>
      <c r="C35" s="5"/>
      <c r="D35" s="5"/>
      <c r="E35" s="4"/>
      <c r="F35" s="4"/>
      <c r="G35" s="6"/>
      <c r="H35" s="4"/>
      <c r="I35" s="4"/>
      <c r="J35" s="4"/>
    </row>
    <row r="36" spans="2:10" x14ac:dyDescent="0.25">
      <c r="B36" s="15"/>
      <c r="C36" s="5"/>
      <c r="D36" s="5"/>
      <c r="E36" s="4"/>
      <c r="F36" s="4"/>
      <c r="G36" s="6"/>
      <c r="H36" s="4"/>
      <c r="I36" s="4"/>
      <c r="J36" s="4"/>
    </row>
    <row r="37" spans="2:10" x14ac:dyDescent="0.25">
      <c r="B37" s="15"/>
      <c r="C37" s="5"/>
      <c r="D37" s="5"/>
      <c r="E37" s="4"/>
      <c r="F37" s="4"/>
      <c r="G37" s="6"/>
      <c r="H37" s="4"/>
      <c r="I37" s="4"/>
      <c r="J37" s="4"/>
    </row>
    <row r="38" spans="2:10" x14ac:dyDescent="0.25">
      <c r="B38" s="15"/>
      <c r="C38" s="5"/>
      <c r="D38" s="5"/>
      <c r="E38" s="4"/>
      <c r="F38" s="4"/>
      <c r="G38" s="6"/>
      <c r="H38" s="4"/>
      <c r="I38" s="4"/>
      <c r="J38" s="4"/>
    </row>
    <row r="39" spans="2:10" x14ac:dyDescent="0.25">
      <c r="B39" s="15"/>
      <c r="C39" s="5"/>
      <c r="D39" s="5"/>
      <c r="E39" s="4"/>
      <c r="F39" s="4"/>
      <c r="G39" s="6"/>
      <c r="H39" s="4"/>
      <c r="I39" s="4"/>
      <c r="J39" s="4"/>
    </row>
    <row r="40" spans="2:10" x14ac:dyDescent="0.25">
      <c r="B40" s="15"/>
      <c r="C40" s="5"/>
      <c r="D40" s="5"/>
      <c r="E40" s="4"/>
      <c r="F40" s="4"/>
      <c r="G40" s="6"/>
      <c r="H40" s="4"/>
      <c r="I40" s="4"/>
      <c r="J40" s="4"/>
    </row>
    <row r="41" spans="2:10" x14ac:dyDescent="0.25">
      <c r="B41" s="15"/>
      <c r="C41" s="5"/>
      <c r="D41" s="5"/>
      <c r="E41" s="4"/>
      <c r="F41" s="4"/>
      <c r="G41" s="6"/>
      <c r="H41" s="4"/>
      <c r="I41" s="4"/>
      <c r="J41" s="4"/>
    </row>
    <row r="42" spans="2:10" x14ac:dyDescent="0.25">
      <c r="B42" s="15"/>
      <c r="C42" s="5"/>
      <c r="D42" s="5"/>
      <c r="E42" s="4"/>
      <c r="F42" s="4"/>
      <c r="G42" s="6"/>
      <c r="H42" s="4"/>
      <c r="I42" s="4"/>
      <c r="J42" s="4"/>
    </row>
    <row r="43" spans="2:10" x14ac:dyDescent="0.25">
      <c r="B43" s="15"/>
      <c r="C43" s="5"/>
      <c r="D43" s="5"/>
      <c r="E43" s="4"/>
      <c r="F43" s="4"/>
      <c r="G43" s="6"/>
      <c r="H43" s="4"/>
      <c r="I43" s="4"/>
      <c r="J43" s="4"/>
    </row>
    <row r="44" spans="2:10" x14ac:dyDescent="0.25">
      <c r="B44" s="15"/>
      <c r="C44" s="5"/>
      <c r="D44" s="5"/>
      <c r="E44" s="4"/>
      <c r="F44" s="4"/>
      <c r="G44" s="6"/>
      <c r="H44" s="4"/>
      <c r="I44" s="4"/>
      <c r="J44" s="4"/>
    </row>
    <row r="45" spans="2:10" x14ac:dyDescent="0.25">
      <c r="B45" s="15"/>
      <c r="C45" s="5"/>
      <c r="D45" s="5"/>
      <c r="E45" s="4"/>
      <c r="F45" s="4"/>
      <c r="G45" s="6"/>
      <c r="H45" s="4"/>
      <c r="I45" s="4"/>
      <c r="J45" s="4"/>
    </row>
    <row r="46" spans="2:10" x14ac:dyDescent="0.25">
      <c r="B46" s="15"/>
      <c r="C46" s="5"/>
      <c r="D46" s="5"/>
      <c r="E46" s="4"/>
      <c r="F46" s="4"/>
      <c r="G46" s="6"/>
      <c r="H46" s="4"/>
      <c r="I46" s="4"/>
      <c r="J46" s="4"/>
    </row>
    <row r="47" spans="2:10" x14ac:dyDescent="0.25">
      <c r="B47" s="15"/>
      <c r="C47" s="5"/>
      <c r="D47" s="5"/>
      <c r="E47" s="4"/>
      <c r="F47" s="4"/>
      <c r="G47" s="6"/>
      <c r="H47" s="4"/>
      <c r="I47" s="4"/>
      <c r="J47" s="4"/>
    </row>
    <row r="48" spans="2:10" x14ac:dyDescent="0.25">
      <c r="B48" s="15"/>
      <c r="C48" s="5"/>
      <c r="D48" s="5"/>
      <c r="E48" s="4"/>
      <c r="F48" s="4"/>
      <c r="G48" s="6"/>
      <c r="H48" s="4"/>
      <c r="I48" s="4"/>
      <c r="J48" s="4"/>
    </row>
    <row r="49" spans="2:10" x14ac:dyDescent="0.25">
      <c r="B49" s="15"/>
      <c r="C49" s="5"/>
      <c r="D49" s="5"/>
      <c r="E49" s="4"/>
      <c r="F49" s="4"/>
      <c r="G49" s="6"/>
      <c r="H49" s="4"/>
      <c r="I49" s="4"/>
      <c r="J49" s="4"/>
    </row>
    <row r="50" spans="2:10" x14ac:dyDescent="0.25">
      <c r="B50" s="15"/>
      <c r="C50" s="5"/>
      <c r="D50" s="5"/>
      <c r="E50" s="4"/>
      <c r="F50" s="4"/>
      <c r="G50" s="6"/>
      <c r="H50" s="4"/>
      <c r="I50" s="4"/>
      <c r="J50" s="4"/>
    </row>
    <row r="51" spans="2:10" x14ac:dyDescent="0.25">
      <c r="B51" s="15"/>
      <c r="C51" s="5"/>
      <c r="D51" s="5"/>
      <c r="E51" s="4"/>
      <c r="F51" s="4"/>
      <c r="G51" s="6"/>
      <c r="H51" s="4"/>
      <c r="I51" s="4"/>
      <c r="J51" s="4"/>
    </row>
    <row r="52" spans="2:10" x14ac:dyDescent="0.25">
      <c r="B52" s="15"/>
      <c r="C52" s="5"/>
      <c r="D52" s="5"/>
      <c r="E52" s="4"/>
      <c r="F52" s="4"/>
      <c r="G52" s="6"/>
      <c r="H52" s="4"/>
      <c r="I52" s="4"/>
      <c r="J52" s="4"/>
    </row>
    <row r="53" spans="2:10" x14ac:dyDescent="0.25">
      <c r="B53" s="15"/>
      <c r="C53" s="5"/>
      <c r="D53" s="5"/>
      <c r="E53" s="4"/>
      <c r="F53" s="4"/>
      <c r="G53" s="6"/>
      <c r="H53" s="4"/>
      <c r="I53" s="4"/>
      <c r="J53" s="4"/>
    </row>
    <row r="54" spans="2:10" x14ac:dyDescent="0.25">
      <c r="B54" s="15"/>
      <c r="C54" s="5"/>
      <c r="D54" s="5"/>
      <c r="E54" s="4"/>
      <c r="F54" s="4"/>
      <c r="G54" s="6"/>
      <c r="H54" s="4"/>
      <c r="I54" s="4"/>
      <c r="J54" s="4"/>
    </row>
    <row r="55" spans="2:10" x14ac:dyDescent="0.25">
      <c r="B55" s="15"/>
      <c r="C55" s="5"/>
      <c r="D55" s="5"/>
      <c r="E55" s="4"/>
      <c r="F55" s="4"/>
      <c r="G55" s="6"/>
      <c r="H55" s="4"/>
      <c r="I55" s="4"/>
      <c r="J55" s="4"/>
    </row>
    <row r="56" spans="2:10" x14ac:dyDescent="0.25">
      <c r="B56" s="15"/>
      <c r="C56" s="5"/>
      <c r="D56" s="5"/>
      <c r="E56" s="4"/>
      <c r="F56" s="4"/>
      <c r="G56" s="6"/>
      <c r="H56" s="4"/>
      <c r="I56" s="4"/>
      <c r="J56" s="4"/>
    </row>
    <row r="57" spans="2:10" x14ac:dyDescent="0.25">
      <c r="B57" s="15"/>
      <c r="C57" s="5"/>
      <c r="D57" s="5"/>
      <c r="E57" s="4"/>
      <c r="F57" s="4"/>
      <c r="G57" s="6"/>
      <c r="H57" s="4"/>
      <c r="I57" s="4"/>
      <c r="J57" s="4"/>
    </row>
    <row r="58" spans="2:10" x14ac:dyDescent="0.25">
      <c r="B58" s="15"/>
      <c r="C58" s="5"/>
      <c r="D58" s="5"/>
      <c r="E58" s="4"/>
      <c r="F58" s="4"/>
      <c r="G58" s="6"/>
      <c r="H58" s="4"/>
      <c r="I58" s="4"/>
      <c r="J58" s="4"/>
    </row>
    <row r="59" spans="2:10" x14ac:dyDescent="0.25">
      <c r="B59" s="15"/>
      <c r="C59" s="5"/>
      <c r="D59" s="5"/>
      <c r="E59" s="4"/>
      <c r="F59" s="4"/>
      <c r="G59" s="6"/>
      <c r="H59" s="4"/>
      <c r="I59" s="4"/>
      <c r="J59" s="4"/>
    </row>
    <row r="60" spans="2:10" x14ac:dyDescent="0.25">
      <c r="B60" s="15"/>
      <c r="C60" s="5"/>
      <c r="D60" s="5"/>
      <c r="E60" s="4"/>
      <c r="F60" s="4"/>
      <c r="G60" s="6"/>
      <c r="H60" s="4"/>
      <c r="I60" s="4"/>
      <c r="J60" s="4"/>
    </row>
    <row r="61" spans="2:10" x14ac:dyDescent="0.25">
      <c r="B61" s="15"/>
      <c r="C61" s="5"/>
      <c r="D61" s="5"/>
      <c r="E61" s="4"/>
      <c r="F61" s="4"/>
      <c r="G61" s="6"/>
      <c r="H61" s="4"/>
      <c r="I61" s="4"/>
      <c r="J61" s="4"/>
    </row>
    <row r="62" spans="2:10" x14ac:dyDescent="0.25">
      <c r="B62" s="15"/>
      <c r="C62" s="5"/>
      <c r="D62" s="5"/>
      <c r="E62" s="4"/>
      <c r="F62" s="4"/>
      <c r="G62" s="6"/>
      <c r="H62" s="4"/>
      <c r="I62" s="4"/>
      <c r="J62" s="4"/>
    </row>
    <row r="63" spans="2:10" x14ac:dyDescent="0.25">
      <c r="B63" s="15"/>
      <c r="C63" s="5"/>
      <c r="D63" s="5"/>
      <c r="E63" s="4"/>
      <c r="F63" s="4"/>
      <c r="G63" s="6"/>
      <c r="H63" s="4"/>
      <c r="I63" s="4"/>
      <c r="J63" s="4"/>
    </row>
    <row r="64" spans="2:10" x14ac:dyDescent="0.25">
      <c r="B64" s="15"/>
      <c r="C64" s="5"/>
      <c r="D64" s="5"/>
      <c r="E64" s="4"/>
      <c r="F64" s="4"/>
      <c r="G64" s="6"/>
      <c r="H64" s="4"/>
      <c r="I64" s="4"/>
      <c r="J64" s="4"/>
    </row>
    <row r="65" spans="2:10" x14ac:dyDescent="0.25">
      <c r="B65" s="15"/>
      <c r="C65" s="5"/>
      <c r="D65" s="5"/>
      <c r="E65" s="4"/>
      <c r="F65" s="4"/>
      <c r="G65" s="6"/>
      <c r="H65" s="4"/>
      <c r="I65" s="4"/>
      <c r="J65" s="4"/>
    </row>
    <row r="66" spans="2:10" x14ac:dyDescent="0.25">
      <c r="B66" s="15"/>
      <c r="C66" s="5"/>
      <c r="D66" s="5"/>
      <c r="E66" s="4"/>
      <c r="F66" s="4"/>
      <c r="G66" s="6"/>
      <c r="H66" s="4"/>
      <c r="I66" s="4"/>
      <c r="J66" s="4"/>
    </row>
    <row r="67" spans="2:10" x14ac:dyDescent="0.25">
      <c r="B67" s="15"/>
      <c r="C67" s="5"/>
      <c r="D67" s="5"/>
      <c r="E67" s="4"/>
      <c r="F67" s="4"/>
      <c r="G67" s="6"/>
      <c r="H67" s="4"/>
      <c r="I67" s="4"/>
      <c r="J67" s="4"/>
    </row>
    <row r="68" spans="2:10" x14ac:dyDescent="0.25">
      <c r="B68" s="15"/>
      <c r="C68" s="5"/>
      <c r="D68" s="5"/>
      <c r="E68" s="4"/>
      <c r="F68" s="4"/>
      <c r="G68" s="6"/>
      <c r="H68" s="4"/>
      <c r="I68" s="4"/>
      <c r="J68" s="4"/>
    </row>
    <row r="69" spans="2:10" x14ac:dyDescent="0.25">
      <c r="B69" s="15"/>
      <c r="C69" s="5"/>
      <c r="D69" s="5"/>
      <c r="E69" s="4"/>
      <c r="F69" s="4"/>
      <c r="G69" s="6"/>
      <c r="H69" s="4"/>
      <c r="I69" s="4"/>
      <c r="J69" s="4"/>
    </row>
    <row r="70" spans="2:10" x14ac:dyDescent="0.25">
      <c r="G70" s="16">
        <f>SUM(G5:G69)</f>
        <v>23935000</v>
      </c>
    </row>
  </sheetData>
  <mergeCells count="2">
    <mergeCell ref="B2:J2"/>
    <mergeCell ref="M4:Q4"/>
  </mergeCells>
  <conditionalFormatting sqref="H5:H69">
    <cfRule type="containsText" dxfId="2" priority="1" operator="containsText" text="DIBAYAR">
      <formula>NOT(ISERROR(SEARCH("DIBAYAR",H5)))</formula>
    </cfRule>
    <cfRule type="containsText" dxfId="1" priority="2" operator="containsText" text="DITAGIH">
      <formula>NOT(ISERROR(SEARCH("DITAGIH",H5)))</formula>
    </cfRule>
    <cfRule type="containsText" dxfId="0" priority="3" operator="containsText" text="DIBUAT">
      <formula>NOT(ISERROR(SEARCH("DIBUAT",H5)))</formula>
    </cfRule>
  </conditionalFormatting>
  <dataValidations count="2">
    <dataValidation type="list" allowBlank="1" showInputMessage="1" showErrorMessage="1" sqref="H5:H69" xr:uid="{F27D2EAF-9882-406E-85C2-6A886EEA21C4}">
      <formula1>"DIBUAT,DITAGIH,DIBAYAR"</formula1>
    </dataValidation>
    <dataValidation type="list" allowBlank="1" showInputMessage="1" showErrorMessage="1" sqref="I5:I69" xr:uid="{5A45ABA8-B1ED-4E77-95F2-17AE4D6480DA}">
      <formula1>"TUNAI,TRANSFER"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Juli</vt:lpstr>
      <vt:lpstr>Agustus</vt:lpstr>
      <vt:lpstr>September</vt:lpstr>
      <vt:lpstr>Oktober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 erwanto</dc:creator>
  <cp:lastModifiedBy>User</cp:lastModifiedBy>
  <cp:lastPrinted>2026-09-02T02:18:11Z</cp:lastPrinted>
  <dcterms:created xsi:type="dcterms:W3CDTF">2026-07-20T06:05:53Z</dcterms:created>
  <dcterms:modified xsi:type="dcterms:W3CDTF">2026-10-05T03:22:18Z</dcterms:modified>
</cp:coreProperties>
</file>