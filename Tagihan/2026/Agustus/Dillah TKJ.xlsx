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95A87336-9566-4F12-98A3-D0493F322BA6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G18" i="1"/>
  <c r="G20" i="1" s="1"/>
  <c r="G40" i="1" s="1"/>
  <c r="G19" i="1"/>
  <c r="G23" i="1"/>
  <c r="G24" i="1"/>
  <c r="G29" i="1"/>
  <c r="G38" i="1" s="1"/>
  <c r="G30" i="1"/>
  <c r="G31" i="1"/>
  <c r="G32" i="1"/>
  <c r="G33" i="1"/>
  <c r="G34" i="1"/>
  <c r="G35" i="1"/>
  <c r="G36" i="1"/>
  <c r="G37" i="1"/>
  <c r="G28" i="1"/>
  <c r="G25" i="3" l="1"/>
  <c r="G24" i="3"/>
  <c r="G32" i="3" s="1"/>
  <c r="G23" i="3"/>
  <c r="G22" i="3"/>
  <c r="G21" i="3"/>
  <c r="G20" i="3"/>
  <c r="G19" i="3"/>
  <c r="G18" i="3"/>
  <c r="G17" i="3"/>
  <c r="G18" i="2" l="1"/>
  <c r="G17" i="2" l="1"/>
  <c r="G30" i="2" l="1"/>
</calcChain>
</file>

<file path=xl/sharedStrings.xml><?xml version="1.0" encoding="utf-8"?>
<sst xmlns="http://schemas.openxmlformats.org/spreadsheetml/2006/main" count="107" uniqueCount="53">
  <si>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</si>
  <si>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</si>
  <si>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</si>
  <si>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</si>
  <si>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</si>
  <si>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</si>
  <si>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</si>
  <si>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</si>
  <si>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</si>
  <si>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</si>
  <si>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</si>
  <si>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</si>
  <si>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</si>
  <si>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</si>
  <si>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</si>
  <si>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</si>
  <si>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</si>
  <si>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</si>
  <si>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</si>
  <si>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</si>
  <si>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</si>
  <si>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</si>
  <si>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</si>
  <si>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</si>
  <si>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</si>
  <si>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</si>
  <si>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</si>
  <si>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</si>
  <si>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</si>
  <si>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</si>
  <si>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</si>
  <si>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</si>
  <si>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</si>
  <si>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</si>
  <si>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t>Durados</t>
  </si>
  <si>
    <t>Konektor</t>
  </si>
  <si>
    <r>
      <t>Tanjung,</t>
    </r>
    <r>
      <rPr>
        <b/>
        <sz val="11"/>
        <color theme="1"/>
        <rFont val="Times New Roman"/>
        <family val="1"/>
      </rPr>
      <t xml:space="preserve"> 04 Agustus 2025</t>
    </r>
  </si>
  <si>
    <t>Kantor Dishub</t>
  </si>
  <si>
    <t>DVR Hilook 16 Channel</t>
  </si>
  <si>
    <t>Unit</t>
  </si>
  <si>
    <t>Dillah</t>
  </si>
  <si>
    <t>Ezviz H6C 3MP</t>
  </si>
  <si>
    <t>Ezviz TY1 Pro 3MP</t>
  </si>
  <si>
    <t>SD Muhammadiyah</t>
  </si>
  <si>
    <t>Kabel CCTV</t>
  </si>
  <si>
    <t>Kabel LAN</t>
  </si>
  <si>
    <t>Set</t>
  </si>
  <si>
    <t>Camera Proview FC Audio Indoor</t>
  </si>
  <si>
    <t>Harddisk 2TB</t>
  </si>
  <si>
    <t>Alat Listrik</t>
  </si>
  <si>
    <t>Setting Dan Installasi</t>
  </si>
  <si>
    <t>PSU 30A 12V  Box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</si>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</sst>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2" fillId="0" borderId="23" xfId="0" applyFont="1" applyBorder="1" applyAlignment="1">
      <alignment horizontal="right" vertical="center"/>
    </xf>
    <xf numFmtId="0" fontId="2" fillId="0" borderId="24" xfId="0" applyFont="1" applyBorder="1" applyAlignment="1">
      <alignment horizontal="right" vertical="center"/>
    </xf>
    <xf numFmtId="0" fontId="2" fillId="0" borderId="25" xfId="0" applyFont="1" applyBorder="1" applyAlignment="1">
      <alignment horizontal="right" vertical="center"/>
    </xf>
    <xf numFmtId="4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41</xdr:row>
      <xdr:rowOff>59532</xdr:rowOff>
    </xdr:from>
    <xdr:to>
      <xdr:col>2</xdr:col>
      <xdr:colOff>2403475</xdr:colOff>
      <xdr:row>48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9"/>
  <sheetViews>
    <sheetView showGridLines="0" tabSelected="1" topLeftCell="A2" zoomScale="80" zoomScaleNormal="80" workbookViewId="0">
      <selection activeCell="F19" sqref="F1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36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55" t="s">
        <v>37</v>
      </c>
      <c r="C17" s="56"/>
      <c r="D17" s="56"/>
      <c r="E17" s="57"/>
      <c r="F17" s="25"/>
      <c r="G17" s="25"/>
    </row>
    <row r="18" spans="2:7" s="5" customFormat="1" ht="20.25" customHeight="1" x14ac:dyDescent="0.25">
      <c r="B18" s="2">
        <v>1</v>
      </c>
      <c r="C18" s="36" t="s">
        <v>38</v>
      </c>
      <c r="D18" s="9">
        <v>1</v>
      </c>
      <c r="E18" s="28" t="s">
        <v>39</v>
      </c>
      <c r="F18" s="25">
        <v>1650000</v>
      </c>
      <c r="G18" s="25">
        <f>F18*D18</f>
        <v>1650000</v>
      </c>
    </row>
    <row r="19" spans="2:7" s="5" customFormat="1" ht="20.25" customHeight="1" x14ac:dyDescent="0.25">
      <c r="B19" s="2">
        <v>2</v>
      </c>
      <c r="C19" s="37" t="s">
        <v>19</v>
      </c>
      <c r="D19" s="2">
        <v>1</v>
      </c>
      <c r="E19" s="26" t="s">
        <v>16</v>
      </c>
      <c r="F19" s="25">
        <v>100000</v>
      </c>
      <c r="G19" s="25">
        <f>F19*D19</f>
        <v>100000</v>
      </c>
    </row>
    <row r="20" spans="2:7" s="5" customFormat="1" ht="20.25" customHeight="1" x14ac:dyDescent="0.25">
      <c r="B20" s="61" t="s">
        <v>52</v>
      </c>
      <c r="C20" s="62"/>
      <c r="D20" s="62"/>
      <c r="E20" s="62"/>
      <c r="F20" s="63"/>
      <c r="G20" s="64">
        <f>SUM(G18:G19)</f>
        <v>1750000</v>
      </c>
    </row>
    <row r="21" spans="2:7" s="5" customFormat="1" ht="20.25" customHeight="1" x14ac:dyDescent="0.25">
      <c r="B21" s="2"/>
      <c r="C21" s="37"/>
      <c r="D21" s="2"/>
      <c r="E21" s="26"/>
      <c r="F21" s="25"/>
      <c r="G21" s="25"/>
    </row>
    <row r="22" spans="2:7" s="5" customFormat="1" ht="20.25" customHeight="1" x14ac:dyDescent="0.25">
      <c r="B22" s="58" t="s">
        <v>40</v>
      </c>
      <c r="C22" s="59"/>
      <c r="D22" s="59"/>
      <c r="E22" s="60"/>
      <c r="F22" s="25"/>
      <c r="G22" s="25"/>
    </row>
    <row r="23" spans="2:7" s="5" customFormat="1" ht="20.25" customHeight="1" x14ac:dyDescent="0.25">
      <c r="B23" s="2">
        <v>1</v>
      </c>
      <c r="C23" s="26" t="s">
        <v>41</v>
      </c>
      <c r="D23" s="2">
        <v>3</v>
      </c>
      <c r="E23" s="26" t="s">
        <v>18</v>
      </c>
      <c r="F23" s="25">
        <v>350000</v>
      </c>
      <c r="G23" s="25">
        <f>F23*D23</f>
        <v>1050000</v>
      </c>
    </row>
    <row r="24" spans="2:7" s="5" customFormat="1" ht="20.25" customHeight="1" x14ac:dyDescent="0.25">
      <c r="B24" s="2">
        <v>2</v>
      </c>
      <c r="C24" s="26" t="s">
        <v>42</v>
      </c>
      <c r="D24" s="2">
        <v>2</v>
      </c>
      <c r="E24" s="26" t="s">
        <v>18</v>
      </c>
      <c r="F24" s="23">
        <v>350000</v>
      </c>
      <c r="G24" s="25">
        <f>F24*D24</f>
        <v>700000</v>
      </c>
    </row>
    <row r="25" spans="2:7" s="5" customFormat="1" ht="20.25" customHeight="1" x14ac:dyDescent="0.25">
      <c r="B25" s="61" t="s">
        <v>52</v>
      </c>
      <c r="C25" s="62"/>
      <c r="D25" s="62"/>
      <c r="E25" s="62"/>
      <c r="F25" s="63"/>
      <c r="G25" s="64">
        <f>SUM(G23:G24)</f>
        <v>1750000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58" t="s">
        <v>43</v>
      </c>
      <c r="C27" s="59"/>
      <c r="D27" s="59"/>
      <c r="E27" s="60"/>
      <c r="F27" s="25"/>
      <c r="G27" s="25"/>
    </row>
    <row r="28" spans="2:7" s="5" customFormat="1" ht="20.25" customHeight="1" x14ac:dyDescent="0.25">
      <c r="B28" s="2">
        <v>1</v>
      </c>
      <c r="C28" s="26" t="s">
        <v>44</v>
      </c>
      <c r="D28" s="2">
        <v>476</v>
      </c>
      <c r="E28" s="26" t="s">
        <v>21</v>
      </c>
      <c r="F28" s="25">
        <v>4000</v>
      </c>
      <c r="G28" s="25">
        <f>F28*D28</f>
        <v>1904000</v>
      </c>
    </row>
    <row r="29" spans="2:7" s="5" customFormat="1" ht="20.25" customHeight="1" x14ac:dyDescent="0.25">
      <c r="B29" s="2">
        <v>2</v>
      </c>
      <c r="C29" s="26" t="s">
        <v>45</v>
      </c>
      <c r="D29" s="2">
        <v>2</v>
      </c>
      <c r="E29" s="26" t="s">
        <v>21</v>
      </c>
      <c r="F29" s="23">
        <v>5000</v>
      </c>
      <c r="G29" s="25">
        <f t="shared" ref="G29:G37" si="0">F29*D29</f>
        <v>10000</v>
      </c>
    </row>
    <row r="30" spans="2:7" s="5" customFormat="1" ht="20.25" customHeight="1" x14ac:dyDescent="0.25">
      <c r="B30" s="2">
        <v>3</v>
      </c>
      <c r="C30" s="26" t="s">
        <v>38</v>
      </c>
      <c r="D30" s="2">
        <v>1</v>
      </c>
      <c r="E30" s="26" t="s">
        <v>39</v>
      </c>
      <c r="F30" s="23">
        <v>1980000</v>
      </c>
      <c r="G30" s="25">
        <f t="shared" si="0"/>
        <v>1980000</v>
      </c>
    </row>
    <row r="31" spans="2:7" s="5" customFormat="1" ht="20.25" customHeight="1" x14ac:dyDescent="0.25">
      <c r="B31" s="2">
        <v>4</v>
      </c>
      <c r="C31" s="26" t="s">
        <v>51</v>
      </c>
      <c r="D31" s="2">
        <v>1</v>
      </c>
      <c r="E31" s="26" t="s">
        <v>39</v>
      </c>
      <c r="F31" s="23">
        <v>350000</v>
      </c>
      <c r="G31" s="25">
        <f t="shared" si="0"/>
        <v>350000</v>
      </c>
    </row>
    <row r="32" spans="2:7" s="5" customFormat="1" ht="20.25" customHeight="1" x14ac:dyDescent="0.25">
      <c r="B32" s="2">
        <v>5</v>
      </c>
      <c r="C32" s="26" t="s">
        <v>35</v>
      </c>
      <c r="D32" s="2">
        <v>16</v>
      </c>
      <c r="E32" s="26" t="s">
        <v>46</v>
      </c>
      <c r="F32" s="23">
        <v>15000</v>
      </c>
      <c r="G32" s="25">
        <f t="shared" si="0"/>
        <v>240000</v>
      </c>
    </row>
    <row r="33" spans="2:8" s="5" customFormat="1" ht="20.25" customHeight="1" x14ac:dyDescent="0.25">
      <c r="B33" s="2">
        <v>6</v>
      </c>
      <c r="C33" s="26" t="s">
        <v>34</v>
      </c>
      <c r="D33" s="2">
        <v>16</v>
      </c>
      <c r="E33" s="26" t="s">
        <v>18</v>
      </c>
      <c r="F33" s="23">
        <v>15000</v>
      </c>
      <c r="G33" s="25">
        <f t="shared" si="0"/>
        <v>240000</v>
      </c>
    </row>
    <row r="34" spans="2:8" s="5" customFormat="1" ht="20.25" customHeight="1" x14ac:dyDescent="0.25">
      <c r="B34" s="2">
        <v>7</v>
      </c>
      <c r="C34" s="26" t="s">
        <v>47</v>
      </c>
      <c r="D34" s="2">
        <v>16</v>
      </c>
      <c r="E34" s="26" t="s">
        <v>18</v>
      </c>
      <c r="F34" s="23">
        <v>275000</v>
      </c>
      <c r="G34" s="25">
        <f t="shared" si="0"/>
        <v>4400000</v>
      </c>
    </row>
    <row r="35" spans="2:8" s="5" customFormat="1" ht="20.25" customHeight="1" x14ac:dyDescent="0.25">
      <c r="B35" s="2">
        <v>9</v>
      </c>
      <c r="C35" s="26" t="s">
        <v>48</v>
      </c>
      <c r="D35" s="2">
        <v>1</v>
      </c>
      <c r="E35" s="26" t="s">
        <v>18</v>
      </c>
      <c r="F35" s="23">
        <v>1950000</v>
      </c>
      <c r="G35" s="25">
        <f t="shared" si="0"/>
        <v>1950000</v>
      </c>
    </row>
    <row r="36" spans="2:8" s="5" customFormat="1" ht="20.25" customHeight="1" x14ac:dyDescent="0.25">
      <c r="B36" s="2">
        <v>10</v>
      </c>
      <c r="C36" s="26" t="s">
        <v>49</v>
      </c>
      <c r="D36" s="2">
        <v>1</v>
      </c>
      <c r="E36" s="26" t="s">
        <v>32</v>
      </c>
      <c r="F36" s="23">
        <v>130000</v>
      </c>
      <c r="G36" s="25">
        <f t="shared" si="0"/>
        <v>130000</v>
      </c>
    </row>
    <row r="37" spans="2:8" s="5" customFormat="1" ht="20.25" customHeight="1" x14ac:dyDescent="0.25">
      <c r="B37" s="2">
        <v>11</v>
      </c>
      <c r="C37" s="26" t="s">
        <v>50</v>
      </c>
      <c r="D37" s="2">
        <v>16</v>
      </c>
      <c r="E37" s="26" t="s">
        <v>16</v>
      </c>
      <c r="F37" s="23">
        <v>150000</v>
      </c>
      <c r="G37" s="25">
        <f t="shared" si="0"/>
        <v>2400000</v>
      </c>
    </row>
    <row r="38" spans="2:8" s="5" customFormat="1" ht="20.25" customHeight="1" x14ac:dyDescent="0.25">
      <c r="B38" s="61" t="s">
        <v>52</v>
      </c>
      <c r="C38" s="62"/>
      <c r="D38" s="62"/>
      <c r="E38" s="62"/>
      <c r="F38" s="63"/>
      <c r="G38" s="64">
        <f>SUM(G28:G37)</f>
        <v>13604000</v>
      </c>
    </row>
    <row r="39" spans="2:8" s="5" customFormat="1" ht="20.25" customHeight="1" x14ac:dyDescent="0.25">
      <c r="B39" s="2"/>
      <c r="C39" s="26"/>
      <c r="D39" s="2"/>
      <c r="E39" s="28"/>
      <c r="F39" s="25"/>
      <c r="G39" s="24"/>
    </row>
    <row r="40" spans="2:8" ht="20.25" customHeight="1" thickBot="1" x14ac:dyDescent="0.3">
      <c r="B40" s="47" t="s">
        <v>4</v>
      </c>
      <c r="C40" s="48"/>
      <c r="D40" s="48"/>
      <c r="E40" s="48"/>
      <c r="F40" s="49"/>
      <c r="G40" s="27">
        <f>G38+G25+G20</f>
        <v>17104000</v>
      </c>
    </row>
    <row r="41" spans="2:8" ht="15.75" thickTop="1" x14ac:dyDescent="0.25">
      <c r="B41" s="3"/>
      <c r="C41" s="3"/>
      <c r="D41" s="31"/>
      <c r="E41" s="3"/>
      <c r="F41" s="16"/>
      <c r="G41" s="17"/>
    </row>
    <row r="43" spans="2:8" s="19" customFormat="1" ht="18.75" x14ac:dyDescent="0.3">
      <c r="B43" s="50" t="s">
        <v>5</v>
      </c>
      <c r="C43" s="50"/>
      <c r="D43" s="32"/>
      <c r="E43" s="18"/>
      <c r="F43" s="51" t="s">
        <v>6</v>
      </c>
      <c r="G43" s="51"/>
    </row>
    <row r="47" spans="2:8" ht="15.75" x14ac:dyDescent="0.25">
      <c r="B47" s="41"/>
      <c r="C47" s="41"/>
      <c r="D47" s="41"/>
      <c r="E47" s="41"/>
      <c r="F47" s="41"/>
      <c r="G47" s="41"/>
    </row>
    <row r="48" spans="2:8" x14ac:dyDescent="0.25">
      <c r="B48" s="45" t="s">
        <v>14</v>
      </c>
      <c r="C48" s="46"/>
      <c r="D48" s="46"/>
      <c r="E48" s="46"/>
      <c r="F48" s="20"/>
      <c r="G48" s="22"/>
      <c r="H48" s="21"/>
    </row>
    <row r="49" spans="2:8" x14ac:dyDescent="0.25">
      <c r="B49" s="42" t="s">
        <v>15</v>
      </c>
      <c r="C49" s="43"/>
      <c r="D49" s="43"/>
      <c r="E49" s="43"/>
      <c r="F49" s="43"/>
      <c r="G49" s="43"/>
      <c r="H49" s="21"/>
    </row>
  </sheetData>
  <mergeCells count="19">
    <mergeCell ref="B20:F20"/>
    <mergeCell ref="B25:F25"/>
    <mergeCell ref="B38:F38"/>
    <mergeCell ref="C7:G8"/>
    <mergeCell ref="C9:G9"/>
    <mergeCell ref="C10:G10"/>
    <mergeCell ref="B47:G47"/>
    <mergeCell ref="B49:G49"/>
    <mergeCell ref="C11:G11"/>
    <mergeCell ref="B48:E48"/>
    <mergeCell ref="B40:F40"/>
    <mergeCell ref="B43:C43"/>
    <mergeCell ref="F43:G43"/>
    <mergeCell ref="F13:G13"/>
    <mergeCell ref="F14:G14"/>
    <mergeCell ref="B14:C14"/>
    <mergeCell ref="B17:E17"/>
    <mergeCell ref="B22:E22"/>
    <mergeCell ref="B27:E27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2026-08-04T08:47:29Z</dcterms:modified>
</cp:coreProperties>
</file>