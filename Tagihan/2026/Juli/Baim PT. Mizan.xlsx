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ata Pekerjaan\Tagihan\2026\Juli\"/>
    </mc:Choice>
  </mc:AlternateContent>
  <xr:revisionPtr revIDLastSave="0" documentId="8_{35C2394A-7E87-4E62-B93A-51122EECAB4A}" xr6:coauthVersionLast="47" xr6:coauthVersionMax="47" xr10:uidLastSave="{00000000-0000-0000-0000-000000000000}"/>
  <bookViews>
    <workbookView xWindow="19095" yWindow="0" windowWidth="19410" windowHeight="15585" xr2:uid="{00000000-000D-0000-FFFF-FFFF00000000}"/>
  </bookViews>
  <sheets>
    <sheet name="Satu Desa" sheetId="1" r:id="rId1"/>
    <sheet name="Pribadi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0" i="1" l="1"/>
  <c r="G39" i="1"/>
  <c r="G36" i="1"/>
  <c r="G28" i="3"/>
  <c r="G26" i="3"/>
  <c r="G33" i="1"/>
  <c r="G30" i="1"/>
  <c r="G29" i="1"/>
  <c r="G24" i="3"/>
  <c r="G23" i="3"/>
  <c r="G20" i="3"/>
  <c r="G19" i="3"/>
  <c r="G18" i="3"/>
  <c r="G25" i="1"/>
  <c r="G26" i="1"/>
  <c r="G24" i="1"/>
  <c r="G21" i="1"/>
  <c r="G20" i="1"/>
  <c r="G19" i="1"/>
  <c r="G18" i="1"/>
  <c r="G43" i="1" l="1"/>
</calcChain>
</file>

<file path=xl/sharedStrings.xml><?xml version="1.0" encoding="utf-8"?>
<sst xmlns="http://schemas.openxmlformats.org/spreadsheetml/2006/main" count="72" uniqueCount="34">
  <si>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</si>
  <si>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</si>
  <si>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</si>
  <si>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</si>
  <si>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</si>
  <si>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</si>
  <si>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</si>
  <si>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</si>
  <si>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</si>
  <si>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r>
      <t xml:space="preserve">Kepada Tuan/Nyonya </t>
    </r>
    <r>
      <rPr>
        <b/>
        <sz val="11"/>
        <color theme="1"/>
        <rFont val="Times New Roman"/>
        <family val="1"/>
      </rPr>
      <t>. . . . . . . . . . . . . . . . . . . . . . .</t>
    </r>
    <r>
      <rPr>
        <sz val="11"/>
        <color theme="1"/>
        <rFont val="Times New Roman"/>
        <family val="1"/>
      </rPr>
      <t xml:space="preserve"> .</t>
    </r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</si>
  <si>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</si>
  <si>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</si>
  <si>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</si>
  <si>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</si>
  <si>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</si>
  <si>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</si>
  <si>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>Pcs</t>
  </si>
  <si>
    <t>Durados</t>
  </si>
  <si>
    <t>Unit</t>
  </si>
  <si>
    <r>
      <t>Tanjung,</t>
    </r>
    <r>
      <rPr>
        <b/>
        <sz val="11"/>
        <color theme="1"/>
        <rFont val="Times New Roman"/>
        <family val="1"/>
      </rPr>
      <t xml:space="preserve"> 14 Mei 2026</t>
    </r>
  </si>
  <si>
    <t>Ezviz H8C</t>
  </si>
  <si>
    <t>PEO Splitter</t>
  </si>
  <si>
    <t>Box Panel 30x40</t>
  </si>
  <si>
    <t>NVR Hikvision 7616NI-Q1</t>
  </si>
  <si>
    <t>PoE Switch Hikvision 106P</t>
  </si>
  <si>
    <t>HTB-3100SET Gigabit</t>
  </si>
  <si>
    <t>Ezviz H8C 4MP</t>
  </si>
  <si>
    <t>Memori 64GB</t>
  </si>
  <si>
    <t>Ezviz H6C</t>
  </si>
  <si>
    <t>Kabel LAN Hikvision</t>
  </si>
  <si>
    <t>Mtr</t>
  </si>
  <si>
    <t>Printer Canon G1010</t>
  </si>
  <si>
    <t>Pembayaran</t>
  </si>
  <si>
    <t>Sub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</si>
</sst>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Times New Roman"/>
      <family val="1"/>
    </font>
    <font>
      <b/>
      <i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0" fillId="0" borderId="4" xfId="0" applyBorder="1"/>
    <xf numFmtId="0" fontId="1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2" fontId="0" fillId="0" borderId="0" xfId="0" applyNumberFormat="1"/>
    <xf numFmtId="42" fontId="3" fillId="0" borderId="0" xfId="0" applyNumberFormat="1" applyFont="1"/>
    <xf numFmtId="42" fontId="1" fillId="0" borderId="7" xfId="0" applyNumberFormat="1" applyFont="1" applyBorder="1" applyAlignment="1">
      <alignment horizontal="center" vertical="center"/>
    </xf>
    <xf numFmtId="42" fontId="1" fillId="0" borderId="5" xfId="0" applyNumberFormat="1" applyFont="1" applyBorder="1" applyAlignment="1">
      <alignment horizontal="center" vertical="center"/>
    </xf>
    <xf numFmtId="42" fontId="2" fillId="0" borderId="0" xfId="0" applyNumberFormat="1" applyFont="1" applyAlignment="1">
      <alignment horizontal="center"/>
    </xf>
    <xf numFmtId="42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42" fontId="9" fillId="0" borderId="10" xfId="0" applyNumberFormat="1" applyFont="1" applyBorder="1"/>
    <xf numFmtId="0" fontId="0" fillId="0" borderId="14" xfId="0" applyBorder="1"/>
    <xf numFmtId="42" fontId="10" fillId="0" borderId="10" xfId="0" applyNumberFormat="1" applyFont="1" applyBorder="1"/>
    <xf numFmtId="42" fontId="1" fillId="0" borderId="9" xfId="0" applyNumberFormat="1" applyFont="1" applyBorder="1" applyAlignment="1">
      <alignment horizontal="center" vertical="center"/>
    </xf>
    <xf numFmtId="42" fontId="1" fillId="0" borderId="3" xfId="0" applyNumberFormat="1" applyFont="1" applyBorder="1" applyAlignment="1">
      <alignment horizontal="center" vertical="center"/>
    </xf>
    <xf numFmtId="4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2" fontId="2" fillId="0" borderId="17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42" fontId="12" fillId="0" borderId="3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42" fontId="1" fillId="0" borderId="0" xfId="0" applyNumberFormat="1" applyFont="1" applyAlignment="1">
      <alignment horizontal="left" vertical="center"/>
    </xf>
    <xf numFmtId="42" fontId="11" fillId="0" borderId="21" xfId="0" applyNumberFormat="1" applyFont="1" applyBorder="1" applyAlignment="1">
      <alignment horizontal="right" vertical="center"/>
    </xf>
    <xf numFmtId="42" fontId="11" fillId="0" borderId="22" xfId="0" applyNumberFormat="1" applyFont="1" applyBorder="1" applyAlignment="1">
      <alignment horizontal="right" vertical="center"/>
    </xf>
    <xf numFmtId="42" fontId="11" fillId="0" borderId="23" xfId="0" applyNumberFormat="1" applyFont="1" applyBorder="1" applyAlignment="1">
      <alignment horizontal="right" vertical="center"/>
    </xf>
    <xf numFmtId="42" fontId="12" fillId="0" borderId="21" xfId="0" applyNumberFormat="1" applyFont="1" applyBorder="1" applyAlignment="1">
      <alignment horizontal="right" vertical="center"/>
    </xf>
    <xf numFmtId="42" fontId="12" fillId="0" borderId="22" xfId="0" applyNumberFormat="1" applyFont="1" applyBorder="1" applyAlignment="1">
      <alignment horizontal="right" vertical="center"/>
    </xf>
    <xf numFmtId="42" fontId="12" fillId="0" borderId="23" xfId="0" applyNumberFormat="1" applyFont="1" applyBorder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42" fontId="3" fillId="0" borderId="0" xfId="0" applyNumberFormat="1" applyFont="1" applyAlignment="1">
      <alignment horizontal="right"/>
    </xf>
    <xf numFmtId="0" fontId="1" fillId="0" borderId="0" xfId="0" applyFont="1"/>
    <xf numFmtId="0" fontId="5" fillId="0" borderId="0" xfId="0" applyFont="1" applyAlignment="1">
      <alignment horizontal="left"/>
    </xf>
    <xf numFmtId="0" fontId="9" fillId="0" borderId="11" xfId="0" applyFont="1" applyBorder="1" applyAlignment="1">
      <alignment horizontal="left"/>
    </xf>
    <xf numFmtId="0" fontId="9" fillId="0" borderId="10" xfId="0" applyFont="1" applyBorder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13" xfId="0" applyFont="1" applyBorder="1" applyAlignment="1">
      <alignment horizontal="left"/>
    </xf>
    <xf numFmtId="15" fontId="11" fillId="0" borderId="18" xfId="0" applyNumberFormat="1" applyFont="1" applyBorder="1" applyAlignment="1">
      <alignment horizontal="left" vertical="center"/>
    </xf>
    <xf numFmtId="0" fontId="11" fillId="0" borderId="19" xfId="0" applyFont="1" applyBorder="1" applyAlignment="1">
      <alignment horizontal="left" vertical="center"/>
    </xf>
    <xf numFmtId="0" fontId="11" fillId="0" borderId="20" xfId="0" applyFont="1" applyBorder="1" applyAlignment="1">
      <alignment horizontal="left" vertical="center"/>
    </xf>
    <xf numFmtId="15" fontId="11" fillId="0" borderId="21" xfId="0" applyNumberFormat="1" applyFont="1" applyBorder="1" applyAlignment="1">
      <alignment horizontal="left" vertical="center"/>
    </xf>
    <xf numFmtId="0" fontId="11" fillId="0" borderId="22" xfId="0" applyFont="1" applyBorder="1" applyAlignment="1">
      <alignment horizontal="left" vertical="center"/>
    </xf>
    <xf numFmtId="0" fontId="11" fillId="0" borderId="23" xfId="0" applyFont="1" applyBorder="1" applyAlignment="1">
      <alignment horizontal="left" vertical="center"/>
    </xf>
    <xf numFmtId="0" fontId="2" fillId="0" borderId="15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42" fontId="6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44</xdr:row>
      <xdr:rowOff>59532</xdr:rowOff>
    </xdr:from>
    <xdr:to>
      <xdr:col>2</xdr:col>
      <xdr:colOff>2403475</xdr:colOff>
      <xdr:row>51</xdr:row>
      <xdr:rowOff>115571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092DF2-B59E-4474-AC06-B27105CDF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3" y="675084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15</xdr:row>
      <xdr:rowOff>16337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A5290-AF2B-4D1E-A98C-905D1559C8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2750" y="0"/>
          <a:ext cx="2883361" cy="2873837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29</xdr:row>
      <xdr:rowOff>59532</xdr:rowOff>
    </xdr:from>
    <xdr:to>
      <xdr:col>2</xdr:col>
      <xdr:colOff>2403475</xdr:colOff>
      <xdr:row>36</xdr:row>
      <xdr:rowOff>172721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0E55A1-B9CD-41CB-A448-AA4B95E502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8212932"/>
          <a:ext cx="2165350" cy="144668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H52"/>
  <sheetViews>
    <sheetView showGridLines="0" tabSelected="1" topLeftCell="A10" zoomScale="80" zoomScaleNormal="80" workbookViewId="0">
      <selection activeCell="L24" sqref="L24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12" customWidth="1"/>
    <col min="7" max="7" width="24.28515625" style="12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43" t="s">
        <v>10</v>
      </c>
      <c r="D7" s="44"/>
      <c r="E7" s="44"/>
      <c r="F7" s="44"/>
      <c r="G7" s="44"/>
    </row>
    <row r="8" spans="2:7" ht="15.75" customHeight="1" x14ac:dyDescent="0.25">
      <c r="C8" s="44"/>
      <c r="D8" s="44"/>
      <c r="E8" s="44"/>
      <c r="F8" s="44"/>
      <c r="G8" s="44"/>
    </row>
    <row r="9" spans="2:7" ht="15.75" customHeight="1" x14ac:dyDescent="0.25">
      <c r="C9" s="45" t="s">
        <v>11</v>
      </c>
      <c r="D9" s="45"/>
      <c r="E9" s="45"/>
      <c r="F9" s="45"/>
      <c r="G9" s="45"/>
    </row>
    <row r="10" spans="2:7" ht="15.75" customHeight="1" x14ac:dyDescent="0.25">
      <c r="C10" s="45" t="s">
        <v>12</v>
      </c>
      <c r="D10" s="45"/>
      <c r="E10" s="45"/>
      <c r="F10" s="45"/>
      <c r="G10" s="45"/>
    </row>
    <row r="11" spans="2:7" ht="15.75" x14ac:dyDescent="0.25">
      <c r="C11" s="46" t="s">
        <v>13</v>
      </c>
      <c r="D11" s="46"/>
      <c r="E11" s="46"/>
      <c r="F11" s="46"/>
      <c r="G11" s="46"/>
    </row>
    <row r="12" spans="2:7" ht="3.75" customHeight="1" x14ac:dyDescent="0.25">
      <c r="F12" s="13"/>
      <c r="G12" s="13"/>
    </row>
    <row r="13" spans="2:7" s="5" customFormat="1" ht="19.5" customHeight="1" x14ac:dyDescent="0.25">
      <c r="B13" s="1"/>
      <c r="D13" s="1"/>
      <c r="E13" s="1"/>
      <c r="F13" s="47" t="s">
        <v>19</v>
      </c>
      <c r="G13" s="47"/>
    </row>
    <row r="14" spans="2:7" s="5" customFormat="1" ht="19.5" customHeight="1" x14ac:dyDescent="0.25">
      <c r="B14" s="35"/>
      <c r="C14" s="35"/>
      <c r="D14" s="1"/>
      <c r="E14" s="1"/>
      <c r="F14" s="36" t="s">
        <v>9</v>
      </c>
      <c r="G14" s="36"/>
    </row>
    <row r="15" spans="2:7" ht="6" customHeight="1" thickBot="1" x14ac:dyDescent="0.3">
      <c r="C15" s="7"/>
      <c r="D15" s="29"/>
    </row>
    <row r="16" spans="2:7" s="1" customFormat="1" ht="20.25" customHeight="1" thickTop="1" thickBot="1" x14ac:dyDescent="0.3">
      <c r="B16" s="11" t="s">
        <v>0</v>
      </c>
      <c r="C16" s="6" t="s">
        <v>1</v>
      </c>
      <c r="D16" s="10" t="s">
        <v>7</v>
      </c>
      <c r="E16" s="8" t="s">
        <v>8</v>
      </c>
      <c r="F16" s="14" t="s">
        <v>2</v>
      </c>
      <c r="G16" s="15" t="s">
        <v>3</v>
      </c>
    </row>
    <row r="17" spans="2:7" s="5" customFormat="1" ht="20.25" customHeight="1" thickTop="1" x14ac:dyDescent="0.25">
      <c r="B17" s="53">
        <v>46127</v>
      </c>
      <c r="C17" s="54"/>
      <c r="D17" s="54"/>
      <c r="E17" s="55"/>
      <c r="F17" s="23"/>
      <c r="G17" s="24"/>
    </row>
    <row r="18" spans="2:7" s="5" customFormat="1" ht="20.25" customHeight="1" x14ac:dyDescent="0.25">
      <c r="B18" s="9">
        <v>1</v>
      </c>
      <c r="C18" s="32" t="s">
        <v>20</v>
      </c>
      <c r="D18" s="9">
        <v>7</v>
      </c>
      <c r="E18" s="28" t="s">
        <v>18</v>
      </c>
      <c r="F18" s="25">
        <v>650000</v>
      </c>
      <c r="G18" s="25">
        <f t="shared" ref="G18:G21" si="0">F18*D18</f>
        <v>4550000</v>
      </c>
    </row>
    <row r="19" spans="2:7" s="5" customFormat="1" ht="20.25" customHeight="1" x14ac:dyDescent="0.25">
      <c r="B19" s="2">
        <v>2</v>
      </c>
      <c r="C19" s="33" t="s">
        <v>21</v>
      </c>
      <c r="D19" s="2">
        <v>10</v>
      </c>
      <c r="E19" s="26" t="s">
        <v>16</v>
      </c>
      <c r="F19" s="25">
        <v>35000</v>
      </c>
      <c r="G19" s="25">
        <f t="shared" si="0"/>
        <v>350000</v>
      </c>
    </row>
    <row r="20" spans="2:7" s="5" customFormat="1" ht="20.25" customHeight="1" x14ac:dyDescent="0.25">
      <c r="B20" s="2">
        <v>3</v>
      </c>
      <c r="C20" s="33" t="s">
        <v>17</v>
      </c>
      <c r="D20" s="2">
        <v>10</v>
      </c>
      <c r="E20" s="26" t="s">
        <v>16</v>
      </c>
      <c r="F20" s="25">
        <v>12000</v>
      </c>
      <c r="G20" s="25">
        <f t="shared" si="0"/>
        <v>120000</v>
      </c>
    </row>
    <row r="21" spans="2:7" s="5" customFormat="1" ht="20.25" customHeight="1" x14ac:dyDescent="0.25">
      <c r="B21" s="2">
        <v>4</v>
      </c>
      <c r="C21" s="33" t="s">
        <v>22</v>
      </c>
      <c r="D21" s="2">
        <v>1</v>
      </c>
      <c r="E21" s="26" t="s">
        <v>16</v>
      </c>
      <c r="F21" s="25">
        <v>300000</v>
      </c>
      <c r="G21" s="25">
        <f t="shared" si="0"/>
        <v>300000</v>
      </c>
    </row>
    <row r="22" spans="2:7" s="5" customFormat="1" ht="20.25" customHeight="1" x14ac:dyDescent="0.25">
      <c r="B22" s="2"/>
      <c r="C22" s="33"/>
      <c r="D22" s="2"/>
      <c r="E22" s="26"/>
      <c r="F22" s="25"/>
      <c r="G22" s="25"/>
    </row>
    <row r="23" spans="2:7" s="5" customFormat="1" ht="20.25" customHeight="1" x14ac:dyDescent="0.25">
      <c r="B23" s="56">
        <v>46175</v>
      </c>
      <c r="C23" s="57"/>
      <c r="D23" s="57"/>
      <c r="E23" s="58"/>
      <c r="F23" s="25"/>
      <c r="G23" s="25"/>
    </row>
    <row r="24" spans="2:7" s="5" customFormat="1" ht="20.25" customHeight="1" x14ac:dyDescent="0.25">
      <c r="B24" s="2">
        <v>1</v>
      </c>
      <c r="C24" s="33" t="s">
        <v>20</v>
      </c>
      <c r="D24" s="2">
        <v>8</v>
      </c>
      <c r="E24" s="26" t="s">
        <v>18</v>
      </c>
      <c r="F24" s="25">
        <v>650000</v>
      </c>
      <c r="G24" s="25">
        <f t="shared" ref="G24:G26" si="1">F24*D24</f>
        <v>5200000</v>
      </c>
    </row>
    <row r="25" spans="2:7" s="5" customFormat="1" ht="20.25" customHeight="1" x14ac:dyDescent="0.25">
      <c r="B25" s="2">
        <v>2</v>
      </c>
      <c r="C25" s="33" t="s">
        <v>28</v>
      </c>
      <c r="D25" s="2">
        <v>2</v>
      </c>
      <c r="E25" s="26" t="s">
        <v>18</v>
      </c>
      <c r="F25" s="25">
        <v>400000</v>
      </c>
      <c r="G25" s="25">
        <f t="shared" si="1"/>
        <v>800000</v>
      </c>
    </row>
    <row r="26" spans="2:7" s="5" customFormat="1" ht="20.25" customHeight="1" x14ac:dyDescent="0.25">
      <c r="B26" s="2">
        <v>3</v>
      </c>
      <c r="C26" s="33" t="s">
        <v>29</v>
      </c>
      <c r="D26" s="2">
        <v>234</v>
      </c>
      <c r="E26" s="26" t="s">
        <v>30</v>
      </c>
      <c r="F26" s="23">
        <v>4000</v>
      </c>
      <c r="G26" s="25">
        <f t="shared" si="1"/>
        <v>936000</v>
      </c>
    </row>
    <row r="27" spans="2:7" s="5" customFormat="1" ht="20.25" customHeight="1" x14ac:dyDescent="0.25">
      <c r="B27" s="2"/>
      <c r="C27" s="33"/>
      <c r="D27" s="2"/>
      <c r="E27" s="26"/>
      <c r="F27" s="23"/>
      <c r="G27" s="25"/>
    </row>
    <row r="28" spans="2:7" s="5" customFormat="1" ht="20.25" customHeight="1" x14ac:dyDescent="0.25">
      <c r="B28" s="56">
        <v>46186</v>
      </c>
      <c r="C28" s="57"/>
      <c r="D28" s="57"/>
      <c r="E28" s="58"/>
      <c r="F28" s="25"/>
      <c r="G28" s="25"/>
    </row>
    <row r="29" spans="2:7" s="5" customFormat="1" ht="20.25" customHeight="1" x14ac:dyDescent="0.25">
      <c r="B29" s="2">
        <v>1</v>
      </c>
      <c r="C29" s="33" t="s">
        <v>20</v>
      </c>
      <c r="D29" s="2">
        <v>10</v>
      </c>
      <c r="E29" s="26" t="s">
        <v>18</v>
      </c>
      <c r="F29" s="25">
        <v>750000</v>
      </c>
      <c r="G29" s="25">
        <f t="shared" ref="G29:G30" si="2">F29*D29</f>
        <v>7500000</v>
      </c>
    </row>
    <row r="30" spans="2:7" s="5" customFormat="1" ht="20.25" customHeight="1" x14ac:dyDescent="0.25">
      <c r="B30" s="2">
        <v>2</v>
      </c>
      <c r="C30" s="33" t="s">
        <v>22</v>
      </c>
      <c r="D30" s="2">
        <v>2</v>
      </c>
      <c r="E30" s="26" t="s">
        <v>18</v>
      </c>
      <c r="F30" s="25">
        <v>300000</v>
      </c>
      <c r="G30" s="25">
        <f t="shared" si="2"/>
        <v>600000</v>
      </c>
    </row>
    <row r="31" spans="2:7" s="5" customFormat="1" ht="20.25" customHeight="1" x14ac:dyDescent="0.25">
      <c r="B31" s="2"/>
      <c r="C31" s="33"/>
      <c r="D31" s="2"/>
      <c r="E31" s="26"/>
      <c r="F31" s="23"/>
      <c r="G31" s="25"/>
    </row>
    <row r="32" spans="2:7" s="5" customFormat="1" ht="20.25" customHeight="1" x14ac:dyDescent="0.25">
      <c r="B32" s="56">
        <v>46189</v>
      </c>
      <c r="C32" s="57"/>
      <c r="D32" s="57"/>
      <c r="E32" s="58"/>
      <c r="F32" s="25"/>
      <c r="G32" s="25"/>
    </row>
    <row r="33" spans="2:7" s="5" customFormat="1" ht="20.25" customHeight="1" x14ac:dyDescent="0.25">
      <c r="B33" s="2">
        <v>1</v>
      </c>
      <c r="C33" s="33" t="s">
        <v>31</v>
      </c>
      <c r="D33" s="2">
        <v>1</v>
      </c>
      <c r="E33" s="26" t="s">
        <v>18</v>
      </c>
      <c r="F33" s="25">
        <v>1050000</v>
      </c>
      <c r="G33" s="25">
        <f t="shared" ref="G33" si="3">F33*D33</f>
        <v>1050000</v>
      </c>
    </row>
    <row r="34" spans="2:7" s="5" customFormat="1" ht="20.25" customHeight="1" x14ac:dyDescent="0.25">
      <c r="B34" s="2"/>
      <c r="C34" s="33"/>
      <c r="D34" s="2"/>
      <c r="E34" s="26"/>
      <c r="F34" s="25"/>
      <c r="G34" s="25"/>
    </row>
    <row r="35" spans="2:7" s="5" customFormat="1" ht="20.25" customHeight="1" x14ac:dyDescent="0.25">
      <c r="B35" s="56">
        <v>46195</v>
      </c>
      <c r="C35" s="57"/>
      <c r="D35" s="57"/>
      <c r="E35" s="58"/>
      <c r="F35" s="25"/>
      <c r="G35" s="25"/>
    </row>
    <row r="36" spans="2:7" s="5" customFormat="1" ht="20.25" customHeight="1" x14ac:dyDescent="0.25">
      <c r="B36" s="2">
        <v>1</v>
      </c>
      <c r="C36" s="33" t="s">
        <v>20</v>
      </c>
      <c r="D36" s="2">
        <v>10</v>
      </c>
      <c r="E36" s="26" t="s">
        <v>18</v>
      </c>
      <c r="F36" s="25">
        <v>750000</v>
      </c>
      <c r="G36" s="25">
        <f t="shared" ref="G36" si="4">F36*D36</f>
        <v>7500000</v>
      </c>
    </row>
    <row r="37" spans="2:7" s="5" customFormat="1" ht="20.25" customHeight="1" x14ac:dyDescent="0.25">
      <c r="B37" s="2"/>
      <c r="C37" s="33"/>
      <c r="D37" s="2"/>
      <c r="E37" s="28"/>
      <c r="F37" s="25"/>
      <c r="G37" s="24"/>
    </row>
    <row r="38" spans="2:7" s="5" customFormat="1" ht="20.25" customHeight="1" x14ac:dyDescent="0.25">
      <c r="B38" s="56">
        <v>46212</v>
      </c>
      <c r="C38" s="57"/>
      <c r="D38" s="57"/>
      <c r="E38" s="58"/>
      <c r="F38" s="25"/>
      <c r="G38" s="25"/>
    </row>
    <row r="39" spans="2:7" s="5" customFormat="1" ht="20.25" customHeight="1" x14ac:dyDescent="0.25">
      <c r="B39" s="2">
        <v>1</v>
      </c>
      <c r="C39" s="33" t="s">
        <v>20</v>
      </c>
      <c r="D39" s="2">
        <v>10</v>
      </c>
      <c r="E39" s="26" t="s">
        <v>18</v>
      </c>
      <c r="F39" s="25">
        <v>750000</v>
      </c>
      <c r="G39" s="25">
        <f t="shared" ref="G39:G40" si="5">F39*D39</f>
        <v>7500000</v>
      </c>
    </row>
    <row r="40" spans="2:7" s="5" customFormat="1" ht="20.25" customHeight="1" x14ac:dyDescent="0.25">
      <c r="B40" s="2">
        <v>2</v>
      </c>
      <c r="C40" s="33" t="s">
        <v>17</v>
      </c>
      <c r="D40" s="2">
        <v>10</v>
      </c>
      <c r="E40" s="28" t="s">
        <v>16</v>
      </c>
      <c r="F40" s="25">
        <v>15000</v>
      </c>
      <c r="G40" s="25">
        <f t="shared" si="5"/>
        <v>150000</v>
      </c>
    </row>
    <row r="41" spans="2:7" s="5" customFormat="1" ht="20.25" customHeight="1" x14ac:dyDescent="0.25">
      <c r="B41" s="2"/>
      <c r="C41" s="33"/>
      <c r="D41" s="2"/>
      <c r="E41" s="28"/>
      <c r="F41" s="25"/>
      <c r="G41" s="24"/>
    </row>
    <row r="42" spans="2:7" s="5" customFormat="1" ht="20.25" customHeight="1" x14ac:dyDescent="0.25">
      <c r="B42" s="2"/>
      <c r="C42" s="26"/>
      <c r="D42" s="2"/>
      <c r="E42" s="28"/>
      <c r="F42" s="25"/>
      <c r="G42" s="24"/>
    </row>
    <row r="43" spans="2:7" ht="20.25" customHeight="1" thickBot="1" x14ac:dyDescent="0.3">
      <c r="B43" s="59" t="s">
        <v>4</v>
      </c>
      <c r="C43" s="60"/>
      <c r="D43" s="60"/>
      <c r="E43" s="60"/>
      <c r="F43" s="61"/>
      <c r="G43" s="27">
        <f>SUM(G17:G42)</f>
        <v>36556000</v>
      </c>
    </row>
    <row r="44" spans="2:7" ht="15.75" thickTop="1" x14ac:dyDescent="0.25">
      <c r="B44" s="3"/>
      <c r="C44" s="3"/>
      <c r="D44" s="30"/>
      <c r="E44" s="3"/>
      <c r="F44" s="16"/>
      <c r="G44" s="17"/>
    </row>
    <row r="46" spans="2:7" s="19" customFormat="1" ht="18.75" x14ac:dyDescent="0.3">
      <c r="B46" s="62" t="s">
        <v>5</v>
      </c>
      <c r="C46" s="62"/>
      <c r="D46" s="31"/>
      <c r="E46" s="18"/>
      <c r="F46" s="63" t="s">
        <v>6</v>
      </c>
      <c r="G46" s="63"/>
    </row>
    <row r="50" spans="2:8" ht="15.75" x14ac:dyDescent="0.25">
      <c r="B50" s="48"/>
      <c r="C50" s="48"/>
      <c r="D50" s="48"/>
      <c r="E50" s="48"/>
      <c r="F50" s="48"/>
      <c r="G50" s="48"/>
    </row>
    <row r="51" spans="2:8" x14ac:dyDescent="0.25">
      <c r="B51" s="49" t="s">
        <v>14</v>
      </c>
      <c r="C51" s="50"/>
      <c r="D51" s="50"/>
      <c r="E51" s="50"/>
      <c r="F51" s="20"/>
      <c r="G51" s="22"/>
      <c r="H51" s="21"/>
    </row>
    <row r="52" spans="2:8" x14ac:dyDescent="0.25">
      <c r="B52" s="51" t="s">
        <v>15</v>
      </c>
      <c r="C52" s="52"/>
      <c r="D52" s="52"/>
      <c r="E52" s="52"/>
      <c r="F52" s="52"/>
      <c r="G52" s="52"/>
      <c r="H52" s="21"/>
    </row>
  </sheetData>
  <mergeCells count="19">
    <mergeCell ref="C7:G8"/>
    <mergeCell ref="C9:G9"/>
    <mergeCell ref="C10:G10"/>
    <mergeCell ref="B38:E38"/>
    <mergeCell ref="B50:G50"/>
    <mergeCell ref="B52:G52"/>
    <mergeCell ref="C11:G11"/>
    <mergeCell ref="B51:E51"/>
    <mergeCell ref="B43:F43"/>
    <mergeCell ref="B46:C46"/>
    <mergeCell ref="F46:G46"/>
    <mergeCell ref="F13:G13"/>
    <mergeCell ref="F14:G14"/>
    <mergeCell ref="B14:C14"/>
    <mergeCell ref="B17:E17"/>
    <mergeCell ref="B23:E23"/>
    <mergeCell ref="B35:E35"/>
    <mergeCell ref="B28:E28"/>
    <mergeCell ref="B32:E32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F71E-F188-46EA-8576-AF19D8CC87D0}">
  <dimension ref="B5:H37"/>
  <sheetViews>
    <sheetView showGridLines="0" workbookViewId="0">
      <selection activeCell="N28" sqref="N28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12" customWidth="1"/>
    <col min="7" max="7" width="24.28515625" style="12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43" t="s">
        <v>10</v>
      </c>
      <c r="D7" s="44"/>
      <c r="E7" s="44"/>
      <c r="F7" s="44"/>
      <c r="G7" s="44"/>
    </row>
    <row r="8" spans="2:7" ht="15.75" customHeight="1" x14ac:dyDescent="0.25">
      <c r="C8" s="44"/>
      <c r="D8" s="44"/>
      <c r="E8" s="44"/>
      <c r="F8" s="44"/>
      <c r="G8" s="44"/>
    </row>
    <row r="9" spans="2:7" ht="15.75" customHeight="1" x14ac:dyDescent="0.25">
      <c r="C9" s="45" t="s">
        <v>11</v>
      </c>
      <c r="D9" s="45"/>
      <c r="E9" s="45"/>
      <c r="F9" s="45"/>
      <c r="G9" s="45"/>
    </row>
    <row r="10" spans="2:7" ht="15.75" customHeight="1" x14ac:dyDescent="0.25">
      <c r="C10" s="45" t="s">
        <v>12</v>
      </c>
      <c r="D10" s="45"/>
      <c r="E10" s="45"/>
      <c r="F10" s="45"/>
      <c r="G10" s="45"/>
    </row>
    <row r="11" spans="2:7" ht="15.75" x14ac:dyDescent="0.25">
      <c r="C11" s="46" t="s">
        <v>13</v>
      </c>
      <c r="D11" s="46"/>
      <c r="E11" s="46"/>
      <c r="F11" s="46"/>
      <c r="G11" s="46"/>
    </row>
    <row r="12" spans="2:7" ht="3.75" customHeight="1" x14ac:dyDescent="0.25">
      <c r="F12" s="13"/>
      <c r="G12" s="13"/>
    </row>
    <row r="13" spans="2:7" s="5" customFormat="1" ht="19.5" customHeight="1" x14ac:dyDescent="0.25">
      <c r="B13" s="1"/>
      <c r="D13" s="1"/>
      <c r="E13" s="1"/>
      <c r="F13" s="47" t="s">
        <v>19</v>
      </c>
      <c r="G13" s="47"/>
    </row>
    <row r="14" spans="2:7" s="5" customFormat="1" ht="19.5" customHeight="1" x14ac:dyDescent="0.25">
      <c r="B14" s="35"/>
      <c r="C14" s="35"/>
      <c r="D14" s="1"/>
      <c r="E14" s="1"/>
      <c r="F14" s="36" t="s">
        <v>9</v>
      </c>
      <c r="G14" s="36"/>
    </row>
    <row r="15" spans="2:7" ht="6" customHeight="1" thickBot="1" x14ac:dyDescent="0.3">
      <c r="C15" s="7"/>
      <c r="D15" s="29"/>
    </row>
    <row r="16" spans="2:7" s="1" customFormat="1" ht="20.25" customHeight="1" thickTop="1" thickBot="1" x14ac:dyDescent="0.3">
      <c r="B16" s="11" t="s">
        <v>0</v>
      </c>
      <c r="C16" s="6" t="s">
        <v>1</v>
      </c>
      <c r="D16" s="10" t="s">
        <v>7</v>
      </c>
      <c r="E16" s="8" t="s">
        <v>8</v>
      </c>
      <c r="F16" s="14" t="s">
        <v>2</v>
      </c>
      <c r="G16" s="15" t="s">
        <v>3</v>
      </c>
    </row>
    <row r="17" spans="2:7" s="5" customFormat="1" ht="20.25" customHeight="1" thickTop="1" x14ac:dyDescent="0.25">
      <c r="B17" s="53">
        <v>46152</v>
      </c>
      <c r="C17" s="54"/>
      <c r="D17" s="54"/>
      <c r="E17" s="55"/>
      <c r="F17" s="23"/>
      <c r="G17" s="24"/>
    </row>
    <row r="18" spans="2:7" s="5" customFormat="1" ht="20.25" customHeight="1" x14ac:dyDescent="0.25">
      <c r="B18" s="2">
        <v>1</v>
      </c>
      <c r="C18" s="33" t="s">
        <v>23</v>
      </c>
      <c r="D18" s="2">
        <v>1</v>
      </c>
      <c r="E18" s="26" t="s">
        <v>18</v>
      </c>
      <c r="F18" s="25">
        <v>1800000</v>
      </c>
      <c r="G18" s="25">
        <f t="shared" ref="G18:G20" si="0">F18*D18</f>
        <v>1800000</v>
      </c>
    </row>
    <row r="19" spans="2:7" s="5" customFormat="1" ht="20.25" customHeight="1" x14ac:dyDescent="0.25">
      <c r="B19" s="2">
        <v>2</v>
      </c>
      <c r="C19" s="33" t="s">
        <v>24</v>
      </c>
      <c r="D19" s="2">
        <v>1</v>
      </c>
      <c r="E19" s="26" t="s">
        <v>18</v>
      </c>
      <c r="F19" s="25">
        <v>600000</v>
      </c>
      <c r="G19" s="25">
        <f t="shared" si="0"/>
        <v>600000</v>
      </c>
    </row>
    <row r="20" spans="2:7" s="5" customFormat="1" ht="20.25" customHeight="1" x14ac:dyDescent="0.25">
      <c r="B20" s="2">
        <v>3</v>
      </c>
      <c r="C20" s="33" t="s">
        <v>25</v>
      </c>
      <c r="D20" s="2">
        <v>2</v>
      </c>
      <c r="E20" s="26" t="s">
        <v>16</v>
      </c>
      <c r="F20" s="23">
        <v>180000</v>
      </c>
      <c r="G20" s="25">
        <f t="shared" si="0"/>
        <v>360000</v>
      </c>
    </row>
    <row r="21" spans="2:7" s="5" customFormat="1" ht="20.25" customHeight="1" x14ac:dyDescent="0.25">
      <c r="B21" s="2"/>
      <c r="C21" s="33"/>
      <c r="D21" s="2"/>
      <c r="E21" s="26"/>
      <c r="F21" s="23"/>
      <c r="G21" s="24"/>
    </row>
    <row r="22" spans="2:7" s="5" customFormat="1" ht="20.25" customHeight="1" x14ac:dyDescent="0.25">
      <c r="B22" s="56">
        <v>46183</v>
      </c>
      <c r="C22" s="57"/>
      <c r="D22" s="57"/>
      <c r="E22" s="58"/>
      <c r="F22" s="25"/>
      <c r="G22" s="25"/>
    </row>
    <row r="23" spans="2:7" s="5" customFormat="1" ht="20.25" customHeight="1" x14ac:dyDescent="0.25">
      <c r="B23" s="2">
        <v>1</v>
      </c>
      <c r="C23" s="33" t="s">
        <v>26</v>
      </c>
      <c r="D23" s="2">
        <v>1</v>
      </c>
      <c r="E23" s="26" t="s">
        <v>18</v>
      </c>
      <c r="F23" s="25">
        <v>725000</v>
      </c>
      <c r="G23" s="25">
        <f t="shared" ref="G23:G24" si="1">F23*D23</f>
        <v>725000</v>
      </c>
    </row>
    <row r="24" spans="2:7" s="5" customFormat="1" ht="20.25" customHeight="1" x14ac:dyDescent="0.25">
      <c r="B24" s="2">
        <v>2</v>
      </c>
      <c r="C24" s="33" t="s">
        <v>27</v>
      </c>
      <c r="D24" s="2">
        <v>1</v>
      </c>
      <c r="E24" s="26" t="s">
        <v>16</v>
      </c>
      <c r="F24" s="25">
        <v>200000</v>
      </c>
      <c r="G24" s="25">
        <f t="shared" si="1"/>
        <v>200000</v>
      </c>
    </row>
    <row r="25" spans="2:7" s="5" customFormat="1" ht="20.25" customHeight="1" x14ac:dyDescent="0.25">
      <c r="B25" s="2"/>
      <c r="C25" s="33"/>
      <c r="D25" s="2"/>
      <c r="E25" s="26"/>
      <c r="F25" s="23"/>
      <c r="G25" s="24"/>
    </row>
    <row r="26" spans="2:7" s="5" customFormat="1" ht="20.25" customHeight="1" x14ac:dyDescent="0.25">
      <c r="B26" s="40" t="s">
        <v>33</v>
      </c>
      <c r="C26" s="41"/>
      <c r="D26" s="41"/>
      <c r="E26" s="41"/>
      <c r="F26" s="42"/>
      <c r="G26" s="34">
        <f>SUM(G18:G25)</f>
        <v>3685000</v>
      </c>
    </row>
    <row r="27" spans="2:7" s="5" customFormat="1" ht="20.25" customHeight="1" x14ac:dyDescent="0.25">
      <c r="B27" s="37" t="s">
        <v>32</v>
      </c>
      <c r="C27" s="38"/>
      <c r="D27" s="38"/>
      <c r="E27" s="38"/>
      <c r="F27" s="39"/>
      <c r="G27" s="24">
        <v>500000</v>
      </c>
    </row>
    <row r="28" spans="2:7" ht="20.25" customHeight="1" thickBot="1" x14ac:dyDescent="0.3">
      <c r="B28" s="59" t="s">
        <v>4</v>
      </c>
      <c r="C28" s="60"/>
      <c r="D28" s="60"/>
      <c r="E28" s="60"/>
      <c r="F28" s="61"/>
      <c r="G28" s="27">
        <f>G26-G27</f>
        <v>3185000</v>
      </c>
    </row>
    <row r="29" spans="2:7" ht="15.75" thickTop="1" x14ac:dyDescent="0.25">
      <c r="B29" s="3"/>
      <c r="C29" s="3"/>
      <c r="D29" s="30"/>
      <c r="E29" s="3"/>
      <c r="F29" s="16"/>
      <c r="G29" s="17"/>
    </row>
    <row r="31" spans="2:7" s="19" customFormat="1" ht="18.75" x14ac:dyDescent="0.3">
      <c r="B31" s="62" t="s">
        <v>5</v>
      </c>
      <c r="C31" s="62"/>
      <c r="D31" s="31"/>
      <c r="E31" s="18"/>
      <c r="F31" s="63" t="s">
        <v>6</v>
      </c>
      <c r="G31" s="63"/>
    </row>
    <row r="35" spans="2:8" ht="15.75" x14ac:dyDescent="0.25">
      <c r="B35" s="48"/>
      <c r="C35" s="48"/>
      <c r="D35" s="48"/>
      <c r="E35" s="48"/>
      <c r="F35" s="48"/>
      <c r="G35" s="48"/>
    </row>
    <row r="36" spans="2:8" x14ac:dyDescent="0.25">
      <c r="B36" s="49" t="s">
        <v>14</v>
      </c>
      <c r="C36" s="50"/>
      <c r="D36" s="50"/>
      <c r="E36" s="50"/>
      <c r="F36" s="20"/>
      <c r="G36" s="22"/>
      <c r="H36" s="21"/>
    </row>
    <row r="37" spans="2:8" x14ac:dyDescent="0.25">
      <c r="B37" s="51" t="s">
        <v>15</v>
      </c>
      <c r="C37" s="52"/>
      <c r="D37" s="52"/>
      <c r="E37" s="52"/>
      <c r="F37" s="52"/>
      <c r="G37" s="52"/>
      <c r="H37" s="21"/>
    </row>
  </sheetData>
  <mergeCells count="17">
    <mergeCell ref="B35:G35"/>
    <mergeCell ref="B36:E36"/>
    <mergeCell ref="B37:G37"/>
    <mergeCell ref="B17:E17"/>
    <mergeCell ref="B22:E22"/>
    <mergeCell ref="B28:F28"/>
    <mergeCell ref="B31:C31"/>
    <mergeCell ref="F31:G31"/>
    <mergeCell ref="B14:C14"/>
    <mergeCell ref="F14:G14"/>
    <mergeCell ref="B27:F27"/>
    <mergeCell ref="B26:F26"/>
    <mergeCell ref="C7:G8"/>
    <mergeCell ref="C9:G9"/>
    <mergeCell ref="C10:G10"/>
    <mergeCell ref="C11:G11"/>
    <mergeCell ref="F13:G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Satu Desa</vt:lpstr>
      <vt:lpstr>Pribadi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didi erwanto</cp:lastModifiedBy>
  <cp:lastPrinted>2025-08-07T03:37:49Z</cp:lastPrinted>
  <dcterms:created xsi:type="dcterms:W3CDTF">2015-11-02T02:47:38Z</dcterms:created>
  <dcterms:modified xsi:type="dcterms:W3CDTF">2026-07-10T02:14:13Z</dcterms:modified>
</cp:coreProperties>
</file>