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D0A55F6F-951A-4B2B-A9DC-1751120561CF}" xr6:coauthVersionLast="47" xr6:coauthVersionMax="47" xr10:uidLastSave="{00000000-0000-0000-0000-000000000000}"/>
  <bookViews>
    <workbookView xWindow="780" yWindow="720" windowWidth="19410" windowHeight="15480" xr2:uid="{00000000-000D-0000-FFFF-FFFF00000000}"/>
  </bookViews>
  <sheets>
    <sheet name="Perbaikan" sheetId="1" r:id="rId1"/>
    <sheet name="Bongk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30" i="1"/>
  <c r="G31" i="1"/>
  <c r="G32" i="1"/>
  <c r="G33" i="1"/>
  <c r="G34" i="1"/>
  <c r="G35" i="1"/>
  <c r="G36" i="1"/>
  <c r="G28" i="1"/>
  <c r="G21" i="1"/>
  <c r="G22" i="1"/>
  <c r="G20" i="1"/>
  <c r="G19" i="1"/>
  <c r="G18" i="1"/>
  <c r="G25" i="1" l="1"/>
  <c r="G17" i="2" l="1"/>
  <c r="G30" i="2" l="1"/>
  <c r="G38" i="1" l="1"/>
</calcChain>
</file>

<file path=xl/sharedStrings.xml><?xml version="1.0" encoding="utf-8"?>
<sst xmlns="http://schemas.openxmlformats.org/spreadsheetml/2006/main" count="69" uniqueCount="40">
  <si>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</si>
  <si>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</si>
  <si>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</si>
  <si>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</si>
  <si>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</si>
  <si>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</si>
  <si>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</si>
  <si>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</si>
  <si>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</si>
  <si>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</si>
  <si>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</si>
  <si>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</si>
  <si>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</si>
  <si>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</si>
  <si>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</si>
  <si>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</si>
  <si>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</si>
  <si>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01 Agustus 2025</t>
    </r>
  </si>
  <si>
    <t>Bongkat Kamera</t>
  </si>
  <si>
    <t>Pcs</t>
  </si>
  <si>
    <t>Mtr</t>
  </si>
  <si>
    <t>Rumah Murung</t>
  </si>
  <si>
    <t>Camera Hikvision 2MP</t>
  </si>
  <si>
    <t>Durados</t>
  </si>
  <si>
    <t>Kabel CCTV</t>
  </si>
  <si>
    <t>Konektor</t>
  </si>
  <si>
    <t>Set</t>
  </si>
  <si>
    <t>Reposisi Camera</t>
  </si>
  <si>
    <t>Bedakan Gambah</t>
  </si>
  <si>
    <t>Cabut Pasang Camera</t>
  </si>
  <si>
    <t>Rumah  Gambah</t>
  </si>
  <si>
    <t>HDMI Splitter</t>
  </si>
  <si>
    <t>Biaya Perbaikan</t>
  </si>
  <si>
    <t>Service AC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</si>
  <si>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</si>
  <si>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27 Juli 2026</t>
    </r>
  </si>
  <si>
    <t>Camera Hikvision ColorVU Audio</t>
  </si>
  <si>
    <t>Camera Hikvision SmartCOlor 2way Audio</t>
  </si>
  <si>
    <t>Kabel CCTV Outdoor</t>
  </si>
  <si>
    <t>Setting Dan Instalasi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</si>
</sst>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5" fontId="11" fillId="0" borderId="20" xfId="0" applyNumberFormat="1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15" fontId="11" fillId="0" borderId="23" xfId="0" applyNumberFormat="1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39</xdr:row>
      <xdr:rowOff>59532</xdr:rowOff>
    </xdr:from>
    <xdr:to>
      <xdr:col>2</xdr:col>
      <xdr:colOff>2403475</xdr:colOff>
      <xdr:row>46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7"/>
  <sheetViews>
    <sheetView showGridLines="0" tabSelected="1" zoomScale="80" zoomScaleNormal="80" workbookViewId="0">
      <selection activeCell="K32" sqref="K32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55" t="s">
        <v>21</v>
      </c>
      <c r="C17" s="56"/>
      <c r="D17" s="56"/>
      <c r="E17" s="57"/>
      <c r="F17" s="23"/>
      <c r="G17" s="24"/>
    </row>
    <row r="18" spans="2:7" s="5" customFormat="1" ht="20.25" customHeight="1" x14ac:dyDescent="0.25">
      <c r="B18" s="9">
        <v>1</v>
      </c>
      <c r="C18" s="36" t="s">
        <v>22</v>
      </c>
      <c r="D18" s="9">
        <v>1</v>
      </c>
      <c r="E18" s="28" t="s">
        <v>19</v>
      </c>
      <c r="F18" s="25">
        <v>500000</v>
      </c>
      <c r="G18" s="25">
        <f t="shared" ref="G18:G22" si="0">F18*D18</f>
        <v>500000</v>
      </c>
    </row>
    <row r="19" spans="2:7" s="5" customFormat="1" ht="20.25" customHeight="1" x14ac:dyDescent="0.25">
      <c r="B19" s="2">
        <v>2</v>
      </c>
      <c r="C19" s="37" t="s">
        <v>23</v>
      </c>
      <c r="D19" s="2">
        <v>1</v>
      </c>
      <c r="E19" s="26" t="s">
        <v>19</v>
      </c>
      <c r="F19" s="25">
        <v>15000</v>
      </c>
      <c r="G19" s="25">
        <f t="shared" si="0"/>
        <v>15000</v>
      </c>
    </row>
    <row r="20" spans="2:7" s="5" customFormat="1" ht="20.25" customHeight="1" x14ac:dyDescent="0.25">
      <c r="B20" s="2">
        <v>3</v>
      </c>
      <c r="C20" s="37" t="s">
        <v>24</v>
      </c>
      <c r="D20" s="2">
        <v>16</v>
      </c>
      <c r="E20" s="26" t="s">
        <v>20</v>
      </c>
      <c r="F20" s="25">
        <v>5000</v>
      </c>
      <c r="G20" s="25">
        <f t="shared" si="0"/>
        <v>80000</v>
      </c>
    </row>
    <row r="21" spans="2:7" s="5" customFormat="1" ht="20.25" customHeight="1" x14ac:dyDescent="0.25">
      <c r="B21" s="2">
        <v>4</v>
      </c>
      <c r="C21" s="37" t="s">
        <v>25</v>
      </c>
      <c r="D21" s="2">
        <v>1</v>
      </c>
      <c r="E21" s="26" t="s">
        <v>26</v>
      </c>
      <c r="F21" s="25">
        <v>15000</v>
      </c>
      <c r="G21" s="25">
        <f t="shared" si="0"/>
        <v>15000</v>
      </c>
    </row>
    <row r="22" spans="2:7" s="5" customFormat="1" ht="20.25" customHeight="1" x14ac:dyDescent="0.25">
      <c r="B22" s="2">
        <v>5</v>
      </c>
      <c r="C22" s="37" t="s">
        <v>27</v>
      </c>
      <c r="D22" s="2">
        <v>1</v>
      </c>
      <c r="E22" s="26" t="s">
        <v>16</v>
      </c>
      <c r="F22" s="25">
        <v>100000</v>
      </c>
      <c r="G22" s="25">
        <f t="shared" si="0"/>
        <v>100000</v>
      </c>
    </row>
    <row r="23" spans="2:7" s="5" customFormat="1" ht="20.25" customHeight="1" x14ac:dyDescent="0.25">
      <c r="B23" s="2"/>
      <c r="C23" s="37"/>
      <c r="D23" s="2"/>
      <c r="E23" s="26"/>
      <c r="F23" s="25"/>
      <c r="G23" s="25"/>
    </row>
    <row r="24" spans="2:7" s="5" customFormat="1" ht="20.25" customHeight="1" x14ac:dyDescent="0.25">
      <c r="B24" s="58" t="s">
        <v>28</v>
      </c>
      <c r="C24" s="59"/>
      <c r="D24" s="59"/>
      <c r="E24" s="60"/>
      <c r="F24" s="25"/>
      <c r="G24" s="25"/>
    </row>
    <row r="25" spans="2:7" s="5" customFormat="1" ht="20.25" customHeight="1" x14ac:dyDescent="0.25">
      <c r="B25" s="2">
        <v>1</v>
      </c>
      <c r="C25" s="37" t="s">
        <v>29</v>
      </c>
      <c r="D25" s="2">
        <v>1</v>
      </c>
      <c r="E25" s="26" t="s">
        <v>16</v>
      </c>
      <c r="F25" s="25">
        <v>150000</v>
      </c>
      <c r="G25" s="25">
        <f t="shared" ref="G25" si="1">F25*D25</f>
        <v>150000</v>
      </c>
    </row>
    <row r="26" spans="2:7" s="5" customFormat="1" ht="20.25" customHeight="1" x14ac:dyDescent="0.25">
      <c r="B26" s="2"/>
      <c r="C26" s="37"/>
      <c r="D26" s="2"/>
      <c r="E26" s="26"/>
      <c r="F26" s="25"/>
      <c r="G26" s="25"/>
    </row>
    <row r="27" spans="2:7" s="5" customFormat="1" ht="20.25" customHeight="1" x14ac:dyDescent="0.25">
      <c r="B27" s="58" t="s">
        <v>30</v>
      </c>
      <c r="C27" s="59"/>
      <c r="D27" s="59"/>
      <c r="E27" s="60"/>
      <c r="F27" s="25"/>
      <c r="G27" s="25"/>
    </row>
    <row r="28" spans="2:7" s="5" customFormat="1" ht="20.25" customHeight="1" x14ac:dyDescent="0.25">
      <c r="B28" s="2">
        <v>1</v>
      </c>
      <c r="C28" s="37" t="s">
        <v>31</v>
      </c>
      <c r="D28" s="2">
        <v>1</v>
      </c>
      <c r="E28" s="26" t="s">
        <v>19</v>
      </c>
      <c r="F28" s="25">
        <v>150000</v>
      </c>
      <c r="G28" s="25">
        <f t="shared" ref="G28:G36" si="2">F28*D28</f>
        <v>150000</v>
      </c>
    </row>
    <row r="29" spans="2:7" s="5" customFormat="1" ht="20.25" customHeight="1" x14ac:dyDescent="0.25">
      <c r="B29" s="2">
        <v>2</v>
      </c>
      <c r="C29" s="37" t="s">
        <v>32</v>
      </c>
      <c r="D29" s="2">
        <v>1</v>
      </c>
      <c r="E29" s="26" t="s">
        <v>16</v>
      </c>
      <c r="F29" s="23">
        <v>50000</v>
      </c>
      <c r="G29" s="25">
        <f t="shared" si="2"/>
        <v>50000</v>
      </c>
    </row>
    <row r="30" spans="2:7" s="5" customFormat="1" ht="20.25" customHeight="1" x14ac:dyDescent="0.25">
      <c r="B30" s="2">
        <v>3</v>
      </c>
      <c r="C30" s="37" t="s">
        <v>33</v>
      </c>
      <c r="D30" s="2">
        <v>2</v>
      </c>
      <c r="E30" s="28" t="s">
        <v>34</v>
      </c>
      <c r="F30" s="23">
        <v>100000</v>
      </c>
      <c r="G30" s="25">
        <f t="shared" si="2"/>
        <v>200000</v>
      </c>
    </row>
    <row r="31" spans="2:7" s="5" customFormat="1" ht="20.25" customHeight="1" x14ac:dyDescent="0.25">
      <c r="B31" s="2">
        <v>4</v>
      </c>
      <c r="C31" s="37" t="s">
        <v>36</v>
      </c>
      <c r="D31" s="2">
        <v>1</v>
      </c>
      <c r="E31" s="28" t="s">
        <v>19</v>
      </c>
      <c r="F31" s="23">
        <v>450000</v>
      </c>
      <c r="G31" s="25">
        <f t="shared" si="2"/>
        <v>450000</v>
      </c>
    </row>
    <row r="32" spans="2:7" s="5" customFormat="1" ht="20.25" customHeight="1" x14ac:dyDescent="0.25">
      <c r="B32" s="2">
        <v>5</v>
      </c>
      <c r="C32" s="37" t="s">
        <v>37</v>
      </c>
      <c r="D32" s="2">
        <v>1</v>
      </c>
      <c r="E32" s="28" t="s">
        <v>19</v>
      </c>
      <c r="F32" s="23">
        <v>550000</v>
      </c>
      <c r="G32" s="25">
        <f t="shared" si="2"/>
        <v>550000</v>
      </c>
    </row>
    <row r="33" spans="2:8" s="5" customFormat="1" ht="20.25" customHeight="1" x14ac:dyDescent="0.25">
      <c r="B33" s="2">
        <v>6</v>
      </c>
      <c r="C33" s="37" t="s">
        <v>38</v>
      </c>
      <c r="D33" s="2">
        <v>85</v>
      </c>
      <c r="E33" s="28" t="s">
        <v>20</v>
      </c>
      <c r="F33" s="23">
        <v>5000</v>
      </c>
      <c r="G33" s="25">
        <f t="shared" si="2"/>
        <v>425000</v>
      </c>
    </row>
    <row r="34" spans="2:8" s="5" customFormat="1" ht="20.25" customHeight="1" x14ac:dyDescent="0.25">
      <c r="B34" s="2">
        <v>7</v>
      </c>
      <c r="C34" s="37" t="s">
        <v>25</v>
      </c>
      <c r="D34" s="2">
        <v>2</v>
      </c>
      <c r="E34" s="28" t="s">
        <v>26</v>
      </c>
      <c r="F34" s="23">
        <v>15000</v>
      </c>
      <c r="G34" s="25">
        <f t="shared" si="2"/>
        <v>30000</v>
      </c>
    </row>
    <row r="35" spans="2:8" s="5" customFormat="1" ht="20.25" customHeight="1" x14ac:dyDescent="0.25">
      <c r="B35" s="2">
        <v>8</v>
      </c>
      <c r="C35" s="37" t="s">
        <v>23</v>
      </c>
      <c r="D35" s="2">
        <v>2</v>
      </c>
      <c r="E35" s="28" t="s">
        <v>19</v>
      </c>
      <c r="F35" s="23">
        <v>15000</v>
      </c>
      <c r="G35" s="25">
        <f t="shared" si="2"/>
        <v>30000</v>
      </c>
    </row>
    <row r="36" spans="2:8" s="5" customFormat="1" ht="20.25" customHeight="1" x14ac:dyDescent="0.25">
      <c r="B36" s="2">
        <v>9</v>
      </c>
      <c r="C36" s="37" t="s">
        <v>39</v>
      </c>
      <c r="D36" s="2">
        <v>2</v>
      </c>
      <c r="E36" s="28" t="s">
        <v>16</v>
      </c>
      <c r="F36" s="23">
        <v>150000</v>
      </c>
      <c r="G36" s="25">
        <f t="shared" si="2"/>
        <v>300000</v>
      </c>
    </row>
    <row r="37" spans="2:8" s="5" customFormat="1" ht="20.25" customHeight="1" x14ac:dyDescent="0.25">
      <c r="B37" s="2"/>
      <c r="C37" s="26"/>
      <c r="D37" s="2"/>
      <c r="E37" s="28"/>
      <c r="F37" s="25"/>
      <c r="G37" s="24"/>
    </row>
    <row r="38" spans="2:8" ht="20.25" customHeight="1" thickBot="1" x14ac:dyDescent="0.3">
      <c r="B38" s="47" t="s">
        <v>4</v>
      </c>
      <c r="C38" s="48"/>
      <c r="D38" s="48"/>
      <c r="E38" s="48"/>
      <c r="F38" s="49"/>
      <c r="G38" s="27">
        <f>SUM(G17:G37)</f>
        <v>3045000</v>
      </c>
    </row>
    <row r="39" spans="2:8" ht="15.75" thickTop="1" x14ac:dyDescent="0.25">
      <c r="B39" s="3"/>
      <c r="C39" s="3"/>
      <c r="D39" s="31"/>
      <c r="E39" s="3"/>
      <c r="F39" s="16"/>
      <c r="G39" s="17"/>
    </row>
    <row r="41" spans="2:8" s="19" customFormat="1" ht="18.75" x14ac:dyDescent="0.3">
      <c r="B41" s="50" t="s">
        <v>5</v>
      </c>
      <c r="C41" s="50"/>
      <c r="D41" s="32"/>
      <c r="E41" s="18"/>
      <c r="F41" s="51" t="s">
        <v>6</v>
      </c>
      <c r="G41" s="51"/>
    </row>
    <row r="45" spans="2:8" ht="15.75" x14ac:dyDescent="0.25">
      <c r="B45" s="41"/>
      <c r="C45" s="41"/>
      <c r="D45" s="41"/>
      <c r="E45" s="41"/>
      <c r="F45" s="41"/>
      <c r="G45" s="41"/>
    </row>
    <row r="46" spans="2:8" x14ac:dyDescent="0.25">
      <c r="B46" s="45" t="s">
        <v>14</v>
      </c>
      <c r="C46" s="46"/>
      <c r="D46" s="46"/>
      <c r="E46" s="46"/>
      <c r="F46" s="20"/>
      <c r="G46" s="22"/>
      <c r="H46" s="21"/>
    </row>
    <row r="47" spans="2:8" x14ac:dyDescent="0.25">
      <c r="B47" s="42" t="s">
        <v>15</v>
      </c>
      <c r="C47" s="43"/>
      <c r="D47" s="43"/>
      <c r="E47" s="43"/>
      <c r="F47" s="43"/>
      <c r="G47" s="43"/>
      <c r="H47" s="21"/>
    </row>
  </sheetData>
  <mergeCells count="16">
    <mergeCell ref="C7:G8"/>
    <mergeCell ref="C9:G9"/>
    <mergeCell ref="C10:G10"/>
    <mergeCell ref="B45:G45"/>
    <mergeCell ref="B47:G47"/>
    <mergeCell ref="C11:G11"/>
    <mergeCell ref="B46:E46"/>
    <mergeCell ref="B38:F38"/>
    <mergeCell ref="B41:C41"/>
    <mergeCell ref="F41:G41"/>
    <mergeCell ref="F13:G13"/>
    <mergeCell ref="F14:G14"/>
    <mergeCell ref="B14:C14"/>
    <mergeCell ref="B17:E17"/>
    <mergeCell ref="B24:E24"/>
    <mergeCell ref="B27:E27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B18" sqref="B18:G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17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18</v>
      </c>
      <c r="D17" s="34">
        <v>1</v>
      </c>
      <c r="E17" s="33" t="s">
        <v>16</v>
      </c>
      <c r="F17" s="23">
        <v>200000</v>
      </c>
      <c r="G17" s="24">
        <f>F17*D17</f>
        <v>200000</v>
      </c>
    </row>
    <row r="18" spans="2:7" s="5" customFormat="1" ht="20.25" customHeight="1" x14ac:dyDescent="0.25">
      <c r="B18" s="9"/>
      <c r="C18" s="36"/>
      <c r="D18" s="29"/>
      <c r="E18" s="28"/>
      <c r="F18" s="23"/>
      <c r="G18" s="24"/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200000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Perbaikan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2025-08-07T03:37:49Z</cp:lastPrinted>
  <dcterms:created xsi:type="dcterms:W3CDTF">2015-11-02T02:47:38Z</dcterms:created>
  <dcterms:modified xsi:type="dcterms:W3CDTF">2026-07-27T05:53:16Z</dcterms:modified>
</cp:coreProperties>
</file>