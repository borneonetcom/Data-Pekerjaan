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D20D8CEB-093A-4067-A746-9A6958D73E97}" xr6:coauthVersionLast="47" xr6:coauthVersionMax="47" xr10:uidLastSave="{00000000-0000-0000-0000-000000000000}"/>
  <bookViews>
    <workbookView xWindow="-105" yWindow="0" windowWidth="19410" windowHeight="15585" activeTab="1" xr2:uid="{00000000-000D-0000-FFFF-FFFF00000000}"/>
  </bookViews>
  <sheets>
    <sheet name="Satu Desa" sheetId="1" r:id="rId1"/>
    <sheet name="Pribadi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2" i="1"/>
  <c r="G18" i="1"/>
  <c r="G28" i="3"/>
  <c r="G26" i="3"/>
  <c r="G24" i="3"/>
  <c r="G23" i="3"/>
  <c r="G20" i="3"/>
  <c r="G19" i="3"/>
  <c r="G18" i="3"/>
  <c r="G26" i="1" l="1"/>
</calcChain>
</file>

<file path=xl/sharedStrings.xml><?xml version="1.0" encoding="utf-8"?>
<sst xmlns="http://schemas.openxmlformats.org/spreadsheetml/2006/main" count="52" uniqueCount="30">
  <si>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</si>
  <si>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</si>
  <si>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</si>
  <si>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</si>
  <si>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</si>
  <si>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</si>
  <si>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</si>
  <si>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</si>
  <si>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</si>
  <si>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</si>
  <si>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</si>
  <si>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</si>
  <si>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</si>
  <si>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</si>
  <si>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</si>
  <si>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</si>
  <si>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Pcs</t>
  </si>
  <si>
    <t>Durados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</si>
  <si>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</si>
  <si>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14 Mei 2026</t>
    </r>
  </si>
  <si>
    <t>Ezviz H8C</t>
  </si>
  <si>
    <t>Box Panel 30x40</t>
  </si>
  <si>
    <t>NVR Hikvision 7616NI-Q1</t>
  </si>
  <si>
    <t>PoE Switch Hikvision 106P</t>
  </si>
  <si>
    <t>HTB-3100SET Gigabit</t>
  </si>
  <si>
    <t>Ezviz H8C 4MP</t>
  </si>
  <si>
    <t>Memori 64GB</t>
  </si>
  <si>
    <t>Pembayaran</t>
  </si>
  <si>
    <t>Sub Total</t>
  </si>
  <si>
    <r>
      <t>Tanjung,</t>
    </r>
    <r>
      <rPr>
        <b/>
        <sz val="11"/>
        <color theme="1"/>
        <rFont val="Times New Roman"/>
        <family val="1"/>
      </rPr>
      <t xml:space="preserve"> 13 Juli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</si>
</sst>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42" fontId="12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5" fontId="11" fillId="0" borderId="18" xfId="0" applyNumberFormat="1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15" fontId="11" fillId="0" borderId="21" xfId="0" applyNumberFormat="1" applyFont="1" applyBorder="1" applyAlignment="1">
      <alignment horizontal="left" vertical="center"/>
    </xf>
    <xf numFmtId="15" fontId="11" fillId="0" borderId="22" xfId="0" applyNumberFormat="1" applyFont="1" applyBorder="1" applyAlignment="1">
      <alignment horizontal="left" vertical="center"/>
    </xf>
    <xf numFmtId="15" fontId="11" fillId="0" borderId="23" xfId="0" applyNumberFormat="1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42" fontId="11" fillId="0" borderId="21" xfId="0" applyNumberFormat="1" applyFont="1" applyBorder="1" applyAlignment="1">
      <alignment horizontal="right" vertical="center"/>
    </xf>
    <xf numFmtId="42" fontId="11" fillId="0" borderId="22" xfId="0" applyNumberFormat="1" applyFont="1" applyBorder="1" applyAlignment="1">
      <alignment horizontal="right" vertical="center"/>
    </xf>
    <xf numFmtId="42" fontId="11" fillId="0" borderId="23" xfId="0" applyNumberFormat="1" applyFont="1" applyBorder="1" applyAlignment="1">
      <alignment horizontal="right" vertical="center"/>
    </xf>
    <xf numFmtId="42" fontId="12" fillId="0" borderId="21" xfId="0" applyNumberFormat="1" applyFont="1" applyBorder="1" applyAlignment="1">
      <alignment horizontal="right" vertical="center"/>
    </xf>
    <xf numFmtId="42" fontId="12" fillId="0" borderId="22" xfId="0" applyNumberFormat="1" applyFont="1" applyBorder="1" applyAlignment="1">
      <alignment horizontal="right" vertical="center"/>
    </xf>
    <xf numFmtId="42" fontId="12" fillId="0" borderId="2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27</xdr:row>
      <xdr:rowOff>59532</xdr:rowOff>
    </xdr:from>
    <xdr:to>
      <xdr:col>2</xdr:col>
      <xdr:colOff>2403475</xdr:colOff>
      <xdr:row>34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A5290-AF2B-4D1E-A98C-905D1559C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0E55A1-B9CD-41CB-A448-AA4B95E5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2129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5"/>
  <sheetViews>
    <sheetView showGridLines="0" zoomScale="80" zoomScaleNormal="80" workbookViewId="0">
      <selection activeCell="K23" sqref="K2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10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11</v>
      </c>
      <c r="D9" s="35"/>
      <c r="E9" s="35"/>
      <c r="F9" s="35"/>
      <c r="G9" s="35"/>
    </row>
    <row r="10" spans="2:7" ht="15.75" customHeight="1" x14ac:dyDescent="0.25">
      <c r="C10" s="35" t="s">
        <v>12</v>
      </c>
      <c r="D10" s="35"/>
      <c r="E10" s="35"/>
      <c r="F10" s="35"/>
      <c r="G10" s="35"/>
    </row>
    <row r="11" spans="2:7" ht="15.75" x14ac:dyDescent="0.25">
      <c r="C11" s="39" t="s">
        <v>13</v>
      </c>
      <c r="D11" s="39"/>
      <c r="E11" s="39"/>
      <c r="F11" s="39"/>
      <c r="G11" s="39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7" t="s">
        <v>29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9</v>
      </c>
      <c r="G14" s="48"/>
    </row>
    <row r="15" spans="2:7" ht="6" customHeight="1" thickBot="1" x14ac:dyDescent="0.3">
      <c r="C15" s="7"/>
      <c r="D15" s="28"/>
    </row>
    <row r="16" spans="2:7" s="1" customFormat="1" ht="20.25" customHeight="1" thickTop="1" thickBot="1" x14ac:dyDescent="0.3">
      <c r="B16" s="10" t="s">
        <v>0</v>
      </c>
      <c r="C16" s="6" t="s">
        <v>1</v>
      </c>
      <c r="D16" s="9" t="s">
        <v>7</v>
      </c>
      <c r="E16" s="8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50">
        <v>46212</v>
      </c>
      <c r="C17" s="51"/>
      <c r="D17" s="51"/>
      <c r="E17" s="52"/>
      <c r="F17" s="22"/>
      <c r="G17" s="23"/>
    </row>
    <row r="18" spans="2:7" s="5" customFormat="1" ht="20.25" customHeight="1" x14ac:dyDescent="0.25">
      <c r="B18" s="2">
        <v>1</v>
      </c>
      <c r="C18" s="31" t="s">
        <v>20</v>
      </c>
      <c r="D18" s="2">
        <v>10</v>
      </c>
      <c r="E18" s="25" t="s">
        <v>18</v>
      </c>
      <c r="F18" s="24">
        <v>750000</v>
      </c>
      <c r="G18" s="24">
        <f t="shared" ref="G18:G22" si="0">F18*D18</f>
        <v>7500000</v>
      </c>
    </row>
    <row r="19" spans="2:7" s="5" customFormat="1" ht="20.25" customHeight="1" x14ac:dyDescent="0.25">
      <c r="B19" s="2">
        <v>2</v>
      </c>
      <c r="C19" s="31" t="s">
        <v>17</v>
      </c>
      <c r="D19" s="2">
        <v>10</v>
      </c>
      <c r="E19" s="27" t="s">
        <v>16</v>
      </c>
      <c r="F19" s="24">
        <v>15000</v>
      </c>
      <c r="G19" s="24">
        <f t="shared" si="0"/>
        <v>150000</v>
      </c>
    </row>
    <row r="20" spans="2:7" s="5" customFormat="1" ht="20.25" customHeight="1" x14ac:dyDescent="0.25">
      <c r="B20" s="2"/>
      <c r="C20" s="31"/>
      <c r="D20" s="2"/>
      <c r="E20" s="27"/>
      <c r="F20" s="24"/>
      <c r="G20" s="24"/>
    </row>
    <row r="21" spans="2:7" s="5" customFormat="1" ht="20.25" customHeight="1" x14ac:dyDescent="0.25">
      <c r="B21" s="53">
        <v>46216</v>
      </c>
      <c r="C21" s="54"/>
      <c r="D21" s="54"/>
      <c r="E21" s="55"/>
      <c r="F21" s="24"/>
      <c r="G21" s="24"/>
    </row>
    <row r="22" spans="2:7" s="5" customFormat="1" ht="20.25" customHeight="1" x14ac:dyDescent="0.25">
      <c r="B22" s="2">
        <v>2</v>
      </c>
      <c r="C22" s="31" t="s">
        <v>21</v>
      </c>
      <c r="D22" s="2">
        <v>2</v>
      </c>
      <c r="E22" s="27" t="s">
        <v>16</v>
      </c>
      <c r="F22" s="24">
        <v>300000</v>
      </c>
      <c r="G22" s="24">
        <f t="shared" si="0"/>
        <v>600000</v>
      </c>
    </row>
    <row r="23" spans="2:7" s="5" customFormat="1" ht="20.25" customHeight="1" x14ac:dyDescent="0.25">
      <c r="B23" s="2"/>
      <c r="C23" s="31"/>
      <c r="D23" s="2"/>
      <c r="E23" s="27"/>
      <c r="F23" s="24"/>
      <c r="G23" s="23"/>
    </row>
    <row r="24" spans="2:7" s="5" customFormat="1" ht="20.25" customHeight="1" x14ac:dyDescent="0.25">
      <c r="B24" s="2"/>
      <c r="C24" s="31"/>
      <c r="D24" s="2"/>
      <c r="E24" s="27"/>
      <c r="F24" s="24"/>
      <c r="G24" s="23"/>
    </row>
    <row r="25" spans="2:7" s="5" customFormat="1" ht="20.25" customHeight="1" x14ac:dyDescent="0.25">
      <c r="B25" s="2"/>
      <c r="C25" s="25"/>
      <c r="D25" s="2"/>
      <c r="E25" s="27"/>
      <c r="F25" s="24"/>
      <c r="G25" s="23"/>
    </row>
    <row r="26" spans="2:7" ht="20.25" customHeight="1" thickBot="1" x14ac:dyDescent="0.3">
      <c r="B26" s="42" t="s">
        <v>4</v>
      </c>
      <c r="C26" s="43"/>
      <c r="D26" s="43"/>
      <c r="E26" s="43"/>
      <c r="F26" s="44"/>
      <c r="G26" s="26">
        <f>SUM(G17:G25)</f>
        <v>8250000</v>
      </c>
    </row>
    <row r="27" spans="2:7" ht="15.75" thickTop="1" x14ac:dyDescent="0.25">
      <c r="B27" s="3"/>
      <c r="C27" s="3"/>
      <c r="D27" s="29"/>
      <c r="E27" s="3"/>
      <c r="F27" s="15"/>
      <c r="G27" s="16"/>
    </row>
    <row r="29" spans="2:7" s="18" customFormat="1" ht="18.75" x14ac:dyDescent="0.3">
      <c r="B29" s="45" t="s">
        <v>5</v>
      </c>
      <c r="C29" s="45"/>
      <c r="D29" s="30"/>
      <c r="E29" s="17"/>
      <c r="F29" s="46" t="s">
        <v>6</v>
      </c>
      <c r="G29" s="46"/>
    </row>
    <row r="33" spans="2:8" ht="15.75" x14ac:dyDescent="0.25">
      <c r="B33" s="36"/>
      <c r="C33" s="36"/>
      <c r="D33" s="36"/>
      <c r="E33" s="36"/>
      <c r="F33" s="36"/>
      <c r="G33" s="36"/>
    </row>
    <row r="34" spans="2:8" x14ac:dyDescent="0.25">
      <c r="B34" s="40" t="s">
        <v>14</v>
      </c>
      <c r="C34" s="41"/>
      <c r="D34" s="41"/>
      <c r="E34" s="41"/>
      <c r="F34" s="19"/>
      <c r="G34" s="21"/>
      <c r="H34" s="20"/>
    </row>
    <row r="35" spans="2:8" x14ac:dyDescent="0.25">
      <c r="B35" s="37" t="s">
        <v>15</v>
      </c>
      <c r="C35" s="38"/>
      <c r="D35" s="38"/>
      <c r="E35" s="38"/>
      <c r="F35" s="38"/>
      <c r="G35" s="38"/>
      <c r="H35" s="20"/>
    </row>
  </sheetData>
  <mergeCells count="15">
    <mergeCell ref="C7:G8"/>
    <mergeCell ref="C9:G9"/>
    <mergeCell ref="C10:G10"/>
    <mergeCell ref="B33:G33"/>
    <mergeCell ref="B35:G35"/>
    <mergeCell ref="C11:G11"/>
    <mergeCell ref="B34:E34"/>
    <mergeCell ref="B26:F26"/>
    <mergeCell ref="B29:C29"/>
    <mergeCell ref="F29:G29"/>
    <mergeCell ref="F13:G13"/>
    <mergeCell ref="F14:G14"/>
    <mergeCell ref="B14:C14"/>
    <mergeCell ref="B17:E17"/>
    <mergeCell ref="B21:E21"/>
  </mergeCells>
  <pageMargins left="0.31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F71E-F188-46EA-8576-AF19D8CC87D0}">
  <dimension ref="B5:H37"/>
  <sheetViews>
    <sheetView showGridLines="0" tabSelected="1" workbookViewId="0">
      <selection activeCell="N28" sqref="N2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10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11</v>
      </c>
      <c r="D9" s="35"/>
      <c r="E9" s="35"/>
      <c r="F9" s="35"/>
      <c r="G9" s="35"/>
    </row>
    <row r="10" spans="2:7" ht="15.75" customHeight="1" x14ac:dyDescent="0.25">
      <c r="C10" s="35" t="s">
        <v>12</v>
      </c>
      <c r="D10" s="35"/>
      <c r="E10" s="35"/>
      <c r="F10" s="35"/>
      <c r="G10" s="35"/>
    </row>
    <row r="11" spans="2:7" ht="15.75" x14ac:dyDescent="0.25">
      <c r="C11" s="39" t="s">
        <v>13</v>
      </c>
      <c r="D11" s="39"/>
      <c r="E11" s="39"/>
      <c r="F11" s="39"/>
      <c r="G11" s="39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7" t="s">
        <v>19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9</v>
      </c>
      <c r="G14" s="48"/>
    </row>
    <row r="15" spans="2:7" ht="6" customHeight="1" thickBot="1" x14ac:dyDescent="0.3">
      <c r="C15" s="7"/>
      <c r="D15" s="28"/>
    </row>
    <row r="16" spans="2:7" s="1" customFormat="1" ht="20.25" customHeight="1" thickTop="1" thickBot="1" x14ac:dyDescent="0.3">
      <c r="B16" s="10" t="s">
        <v>0</v>
      </c>
      <c r="C16" s="6" t="s">
        <v>1</v>
      </c>
      <c r="D16" s="9" t="s">
        <v>7</v>
      </c>
      <c r="E16" s="8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50">
        <v>46152</v>
      </c>
      <c r="C17" s="51"/>
      <c r="D17" s="51"/>
      <c r="E17" s="52"/>
      <c r="F17" s="22"/>
      <c r="G17" s="23"/>
    </row>
    <row r="18" spans="2:7" s="5" customFormat="1" ht="20.25" customHeight="1" x14ac:dyDescent="0.25">
      <c r="B18" s="2">
        <v>1</v>
      </c>
      <c r="C18" s="31" t="s">
        <v>22</v>
      </c>
      <c r="D18" s="2">
        <v>1</v>
      </c>
      <c r="E18" s="25" t="s">
        <v>18</v>
      </c>
      <c r="F18" s="24">
        <v>1800000</v>
      </c>
      <c r="G18" s="24">
        <f t="shared" ref="G18:G20" si="0">F18*D18</f>
        <v>1800000</v>
      </c>
    </row>
    <row r="19" spans="2:7" s="5" customFormat="1" ht="20.25" customHeight="1" x14ac:dyDescent="0.25">
      <c r="B19" s="2">
        <v>2</v>
      </c>
      <c r="C19" s="31" t="s">
        <v>23</v>
      </c>
      <c r="D19" s="2">
        <v>1</v>
      </c>
      <c r="E19" s="25" t="s">
        <v>18</v>
      </c>
      <c r="F19" s="24">
        <v>600000</v>
      </c>
      <c r="G19" s="24">
        <f t="shared" si="0"/>
        <v>600000</v>
      </c>
    </row>
    <row r="20" spans="2:7" s="5" customFormat="1" ht="20.25" customHeight="1" x14ac:dyDescent="0.25">
      <c r="B20" s="2">
        <v>3</v>
      </c>
      <c r="C20" s="31" t="s">
        <v>24</v>
      </c>
      <c r="D20" s="2">
        <v>2</v>
      </c>
      <c r="E20" s="25" t="s">
        <v>16</v>
      </c>
      <c r="F20" s="22">
        <v>180000</v>
      </c>
      <c r="G20" s="24">
        <f t="shared" si="0"/>
        <v>360000</v>
      </c>
    </row>
    <row r="21" spans="2:7" s="5" customFormat="1" ht="20.25" customHeight="1" x14ac:dyDescent="0.25">
      <c r="B21" s="2"/>
      <c r="C21" s="31"/>
      <c r="D21" s="2"/>
      <c r="E21" s="25"/>
      <c r="F21" s="22"/>
      <c r="G21" s="23"/>
    </row>
    <row r="22" spans="2:7" s="5" customFormat="1" ht="20.25" customHeight="1" x14ac:dyDescent="0.25">
      <c r="B22" s="53">
        <v>46183</v>
      </c>
      <c r="C22" s="56"/>
      <c r="D22" s="56"/>
      <c r="E22" s="57"/>
      <c r="F22" s="24"/>
      <c r="G22" s="24"/>
    </row>
    <row r="23" spans="2:7" s="5" customFormat="1" ht="20.25" customHeight="1" x14ac:dyDescent="0.25">
      <c r="B23" s="2">
        <v>1</v>
      </c>
      <c r="C23" s="31" t="s">
        <v>25</v>
      </c>
      <c r="D23" s="2">
        <v>1</v>
      </c>
      <c r="E23" s="25" t="s">
        <v>18</v>
      </c>
      <c r="F23" s="24">
        <v>725000</v>
      </c>
      <c r="G23" s="24">
        <f t="shared" ref="G23:G24" si="1">F23*D23</f>
        <v>725000</v>
      </c>
    </row>
    <row r="24" spans="2:7" s="5" customFormat="1" ht="20.25" customHeight="1" x14ac:dyDescent="0.25">
      <c r="B24" s="2">
        <v>2</v>
      </c>
      <c r="C24" s="31" t="s">
        <v>26</v>
      </c>
      <c r="D24" s="2">
        <v>1</v>
      </c>
      <c r="E24" s="25" t="s">
        <v>16</v>
      </c>
      <c r="F24" s="24">
        <v>200000</v>
      </c>
      <c r="G24" s="24">
        <f t="shared" si="1"/>
        <v>200000</v>
      </c>
    </row>
    <row r="25" spans="2:7" s="5" customFormat="1" ht="20.25" customHeight="1" x14ac:dyDescent="0.25">
      <c r="B25" s="2"/>
      <c r="C25" s="31"/>
      <c r="D25" s="2"/>
      <c r="E25" s="25"/>
      <c r="F25" s="22"/>
      <c r="G25" s="23"/>
    </row>
    <row r="26" spans="2:7" s="5" customFormat="1" ht="20.25" customHeight="1" x14ac:dyDescent="0.25">
      <c r="B26" s="61" t="s">
        <v>28</v>
      </c>
      <c r="C26" s="62"/>
      <c r="D26" s="62"/>
      <c r="E26" s="62"/>
      <c r="F26" s="63"/>
      <c r="G26" s="32">
        <f>SUM(G18:G25)</f>
        <v>3685000</v>
      </c>
    </row>
    <row r="27" spans="2:7" s="5" customFormat="1" ht="20.25" customHeight="1" x14ac:dyDescent="0.25">
      <c r="B27" s="58" t="s">
        <v>27</v>
      </c>
      <c r="C27" s="59"/>
      <c r="D27" s="59"/>
      <c r="E27" s="59"/>
      <c r="F27" s="60"/>
      <c r="G27" s="23">
        <v>500000</v>
      </c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26">
        <f>G26-G27</f>
        <v>3185000</v>
      </c>
    </row>
    <row r="29" spans="2:7" ht="15.75" thickTop="1" x14ac:dyDescent="0.25">
      <c r="B29" s="3"/>
      <c r="C29" s="3"/>
      <c r="D29" s="29"/>
      <c r="E29" s="3"/>
      <c r="F29" s="15"/>
      <c r="G29" s="16"/>
    </row>
    <row r="31" spans="2:7" s="18" customFormat="1" ht="18.75" x14ac:dyDescent="0.3">
      <c r="B31" s="45" t="s">
        <v>5</v>
      </c>
      <c r="C31" s="45"/>
      <c r="D31" s="30"/>
      <c r="E31" s="17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14</v>
      </c>
      <c r="C36" s="41"/>
      <c r="D36" s="41"/>
      <c r="E36" s="41"/>
      <c r="F36" s="19"/>
      <c r="G36" s="21"/>
      <c r="H36" s="20"/>
    </row>
    <row r="37" spans="2:8" x14ac:dyDescent="0.25">
      <c r="B37" s="37" t="s">
        <v>15</v>
      </c>
      <c r="C37" s="38"/>
      <c r="D37" s="38"/>
      <c r="E37" s="38"/>
      <c r="F37" s="38"/>
      <c r="G37" s="38"/>
      <c r="H37" s="20"/>
    </row>
  </sheetData>
  <mergeCells count="17">
    <mergeCell ref="B14:C14"/>
    <mergeCell ref="F14:G14"/>
    <mergeCell ref="B27:F27"/>
    <mergeCell ref="B26:F26"/>
    <mergeCell ref="C7:G8"/>
    <mergeCell ref="C9:G9"/>
    <mergeCell ref="C10:G10"/>
    <mergeCell ref="C11:G11"/>
    <mergeCell ref="F13:G13"/>
    <mergeCell ref="B35:G35"/>
    <mergeCell ref="B36:E36"/>
    <mergeCell ref="B37:G37"/>
    <mergeCell ref="B17:E17"/>
    <mergeCell ref="B22:E22"/>
    <mergeCell ref="B28:F28"/>
    <mergeCell ref="B31:C31"/>
    <mergeCell ref="F31:G31"/>
  </mergeCells>
  <pageMargins left="0.16" right="0.15" top="0.74803149606299213" bottom="0.74803149606299213" header="0.31496062992125984" footer="0.31496062992125984"/>
  <pageSetup paperSize="9" scale="85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Satu Desa</vt:lpstr>
      <vt:lpstr>Pribadi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2026-07-27T02:03:15Z</cp:lastPrinted>
  <dcterms:created xsi:type="dcterms:W3CDTF">2015-11-02T02:47:38Z</dcterms:created>
  <dcterms:modified xsi:type="dcterms:W3CDTF">2026-07-27T02:03:19Z</dcterms:modified>
</cp:coreProperties>
</file>