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6F3450DF-A1E5-4C5A-995A-EAC8D9D04D2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3" i="1"/>
  <c r="G34" i="1"/>
  <c r="G35" i="1"/>
  <c r="G31" i="1"/>
  <c r="G36" i="1" s="1"/>
  <c r="G19" i="1"/>
  <c r="G20" i="1"/>
  <c r="G21" i="1"/>
  <c r="G29" i="1" s="1"/>
  <c r="G38" i="1" s="1"/>
  <c r="G22" i="1"/>
  <c r="G23" i="1"/>
  <c r="G24" i="1"/>
  <c r="G25" i="1"/>
  <c r="G26" i="1"/>
  <c r="G27" i="1"/>
  <c r="G28" i="1"/>
  <c r="G18" i="1"/>
</calcChain>
</file>

<file path=xl/sharedStrings.xml><?xml version="1.0" encoding="utf-8"?>
<sst xmlns="http://schemas.openxmlformats.org/spreadsheetml/2006/main" count="54" uniqueCount="44">
  <si>
    <t>NO.</t>
  </si>
  <si>
    <t>NAMA BARANG</t>
  </si>
  <si>
    <t>HARGA</t>
  </si>
  <si>
    <t>JUMLAH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</si>
  <si>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</si>
  <si>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</si>
  <si>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</si>
  <si>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</si>
  <si>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</si>
  <si>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</si>
  <si>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</si>
  <si>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</si>
  <si>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</si>
  <si>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</si>
  <si>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</si>
  <si>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</si>
  <si>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</si>
  <si>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</si>
  <si>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</si>
  <si>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</si>
  <si>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Pcs</t>
  </si>
  <si>
    <t>CCTV</t>
  </si>
  <si>
    <t>Camera Proview FC Audio</t>
  </si>
  <si>
    <t>DVR 16 Channel</t>
  </si>
  <si>
    <t>Harddisk 2TB</t>
  </si>
  <si>
    <t>Kabel CCTV RG6 Outdoor</t>
  </si>
  <si>
    <t>PSU 12V 20A Box</t>
  </si>
  <si>
    <t>Durados Camera</t>
  </si>
  <si>
    <t>Kabel Dutch 25x40</t>
  </si>
  <si>
    <t>Kabel Duct 50x50</t>
  </si>
  <si>
    <t>Alat Listrik</t>
  </si>
  <si>
    <t>Setting Dan Installasi</t>
  </si>
  <si>
    <t>Unit</t>
  </si>
  <si>
    <t>Roll</t>
  </si>
  <si>
    <t>Pkt</t>
  </si>
  <si>
    <t>Sub Total</t>
  </si>
  <si>
    <t>Installasi Listrik</t>
  </si>
  <si>
    <t>Lampu TL Set Ecolink 120cm</t>
  </si>
  <si>
    <t>Kabel Pian 2x1.5mm</t>
  </si>
  <si>
    <t>Block Krustin</t>
  </si>
  <si>
    <t>Kabel Duct TC-4</t>
  </si>
  <si>
    <t>Biaya Installasi</t>
  </si>
  <si>
    <t>GRAND TOTAL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</si>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</sst>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4" xfId="0" applyNumberFormat="1" applyFont="1" applyBorder="1"/>
    <xf numFmtId="0" fontId="0" fillId="0" borderId="18" xfId="0" applyBorder="1"/>
    <xf numFmtId="42" fontId="10" fillId="0" borderId="14" xfId="0" applyNumberFormat="1" applyFont="1" applyBorder="1"/>
    <xf numFmtId="42" fontId="1" fillId="0" borderId="1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42" fontId="2" fillId="0" borderId="4" xfId="0" applyNumberFormat="1" applyFont="1" applyBorder="1" applyAlignment="1">
      <alignment horizontal="center" vertical="center"/>
    </xf>
    <xf numFmtId="42" fontId="11" fillId="0" borderId="4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right" vertical="center"/>
    </xf>
    <xf numFmtId="0" fontId="11" fillId="0" borderId="22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39</xdr:row>
      <xdr:rowOff>23812</xdr:rowOff>
    </xdr:from>
    <xdr:to>
      <xdr:col>2</xdr:col>
      <xdr:colOff>2320131</xdr:colOff>
      <xdr:row>46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7"/>
  <sheetViews>
    <sheetView showGridLines="0" tabSelected="1" topLeftCell="A11" zoomScale="70" zoomScaleNormal="70" workbookViewId="0">
      <selection activeCell="R17" sqref="R1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56" t="s">
        <v>9</v>
      </c>
      <c r="D7" s="57"/>
      <c r="E7" s="57"/>
      <c r="F7" s="57"/>
      <c r="G7" s="57"/>
    </row>
    <row r="8" spans="2:14" ht="15.75" customHeight="1" x14ac:dyDescent="0.25">
      <c r="C8" s="57"/>
      <c r="D8" s="57"/>
      <c r="E8" s="57"/>
      <c r="F8" s="57"/>
      <c r="G8" s="57"/>
    </row>
    <row r="9" spans="2:14" ht="15.75" customHeight="1" x14ac:dyDescent="0.25">
      <c r="C9" s="58" t="s">
        <v>10</v>
      </c>
      <c r="D9" s="58"/>
      <c r="E9" s="58"/>
      <c r="F9" s="58"/>
      <c r="G9" s="58"/>
    </row>
    <row r="10" spans="2:14" ht="15.75" customHeight="1" x14ac:dyDescent="0.25">
      <c r="C10" s="58" t="s">
        <v>11</v>
      </c>
      <c r="D10" s="58"/>
      <c r="E10" s="58"/>
      <c r="F10" s="58"/>
      <c r="G10" s="58"/>
    </row>
    <row r="11" spans="2:14" ht="15.75" x14ac:dyDescent="0.25">
      <c r="C11" s="36" t="s">
        <v>12</v>
      </c>
      <c r="D11" s="36"/>
      <c r="E11" s="36"/>
      <c r="F11" s="36"/>
      <c r="G11" s="36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4" t="s">
        <v>16</v>
      </c>
      <c r="G13" s="44"/>
      <c r="N13" s="6" t="s">
        <v>15</v>
      </c>
    </row>
    <row r="14" spans="2:14" s="6" customFormat="1" ht="19.5" customHeight="1" x14ac:dyDescent="0.25">
      <c r="B14" s="46"/>
      <c r="C14" s="46"/>
      <c r="D14" s="1"/>
      <c r="E14" s="1"/>
      <c r="F14" s="45" t="s">
        <v>8</v>
      </c>
      <c r="G14" s="45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6</v>
      </c>
      <c r="E16" s="13" t="s">
        <v>7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47" t="s">
        <v>21</v>
      </c>
      <c r="C17" s="48"/>
      <c r="D17" s="48"/>
      <c r="E17" s="49"/>
      <c r="F17" s="25"/>
      <c r="G17" s="26"/>
    </row>
    <row r="18" spans="2:7" s="6" customFormat="1" ht="20.25" customHeight="1" x14ac:dyDescent="0.25">
      <c r="B18" s="2">
        <v>1</v>
      </c>
      <c r="C18" s="31" t="s">
        <v>22</v>
      </c>
      <c r="D18" s="2">
        <v>11</v>
      </c>
      <c r="E18" s="11" t="s">
        <v>20</v>
      </c>
      <c r="F18" s="27">
        <v>350000</v>
      </c>
      <c r="G18" s="26">
        <f>F18*D18</f>
        <v>3850000</v>
      </c>
    </row>
    <row r="19" spans="2:7" s="6" customFormat="1" ht="20.25" customHeight="1" x14ac:dyDescent="0.25">
      <c r="B19" s="2">
        <v>2</v>
      </c>
      <c r="C19" s="31" t="s">
        <v>23</v>
      </c>
      <c r="D19" s="2">
        <v>1</v>
      </c>
      <c r="E19" s="11" t="s">
        <v>32</v>
      </c>
      <c r="F19" s="27">
        <v>1950000</v>
      </c>
      <c r="G19" s="26">
        <f t="shared" ref="G19:G28" si="0">F19*D19</f>
        <v>1950000</v>
      </c>
    </row>
    <row r="20" spans="2:7" s="6" customFormat="1" ht="20.25" customHeight="1" x14ac:dyDescent="0.25">
      <c r="B20" s="2">
        <v>3</v>
      </c>
      <c r="C20" s="31" t="s">
        <v>24</v>
      </c>
      <c r="D20" s="2">
        <v>1</v>
      </c>
      <c r="E20" s="11" t="s">
        <v>20</v>
      </c>
      <c r="F20" s="27">
        <v>1850000</v>
      </c>
      <c r="G20" s="26">
        <f t="shared" si="0"/>
        <v>1850000</v>
      </c>
    </row>
    <row r="21" spans="2:7" s="6" customFormat="1" ht="20.25" customHeight="1" x14ac:dyDescent="0.25">
      <c r="B21" s="2">
        <v>4</v>
      </c>
      <c r="C21" s="31" t="s">
        <v>25</v>
      </c>
      <c r="D21" s="2">
        <v>200</v>
      </c>
      <c r="E21" s="11" t="s">
        <v>43</v>
      </c>
      <c r="F21" s="27">
        <v>4000</v>
      </c>
      <c r="G21" s="26">
        <f t="shared" si="0"/>
        <v>800000</v>
      </c>
    </row>
    <row r="22" spans="2:7" s="6" customFormat="1" ht="20.25" customHeight="1" x14ac:dyDescent="0.25">
      <c r="B22" s="2">
        <v>5</v>
      </c>
      <c r="C22" s="31" t="s">
        <v>26</v>
      </c>
      <c r="D22" s="2">
        <v>1</v>
      </c>
      <c r="E22" s="11" t="s">
        <v>20</v>
      </c>
      <c r="F22" s="27">
        <v>250000</v>
      </c>
      <c r="G22" s="26">
        <f t="shared" si="0"/>
        <v>250000</v>
      </c>
    </row>
    <row r="23" spans="2:7" s="6" customFormat="1" ht="20.25" customHeight="1" x14ac:dyDescent="0.25">
      <c r="B23" s="2">
        <v>6</v>
      </c>
      <c r="C23" s="31" t="s">
        <v>27</v>
      </c>
      <c r="D23" s="2">
        <v>11</v>
      </c>
      <c r="E23" s="11" t="s">
        <v>20</v>
      </c>
      <c r="F23" s="27">
        <v>20000</v>
      </c>
      <c r="G23" s="26">
        <f t="shared" si="0"/>
        <v>220000</v>
      </c>
    </row>
    <row r="24" spans="2:7" s="6" customFormat="1" ht="20.25" customHeight="1" x14ac:dyDescent="0.25">
      <c r="B24" s="2">
        <v>7</v>
      </c>
      <c r="C24" s="31" t="s">
        <v>18</v>
      </c>
      <c r="D24" s="2">
        <v>11</v>
      </c>
      <c r="E24" s="11" t="s">
        <v>19</v>
      </c>
      <c r="F24" s="27">
        <v>15000</v>
      </c>
      <c r="G24" s="26">
        <f t="shared" si="0"/>
        <v>165000</v>
      </c>
    </row>
    <row r="25" spans="2:7" s="6" customFormat="1" ht="20.25" customHeight="1" x14ac:dyDescent="0.25">
      <c r="B25" s="2">
        <v>8</v>
      </c>
      <c r="C25" s="31" t="s">
        <v>28</v>
      </c>
      <c r="D25" s="2">
        <v>22</v>
      </c>
      <c r="E25" s="11" t="s">
        <v>20</v>
      </c>
      <c r="F25" s="27">
        <v>31000</v>
      </c>
      <c r="G25" s="26">
        <f t="shared" si="0"/>
        <v>682000</v>
      </c>
    </row>
    <row r="26" spans="2:7" s="6" customFormat="1" ht="20.25" customHeight="1" x14ac:dyDescent="0.25">
      <c r="B26" s="2">
        <v>9</v>
      </c>
      <c r="C26" s="31" t="s">
        <v>29</v>
      </c>
      <c r="D26" s="2">
        <v>2</v>
      </c>
      <c r="E26" s="11" t="s">
        <v>20</v>
      </c>
      <c r="F26" s="27">
        <v>38000</v>
      </c>
      <c r="G26" s="26">
        <f t="shared" si="0"/>
        <v>76000</v>
      </c>
    </row>
    <row r="27" spans="2:7" s="6" customFormat="1" ht="20.25" customHeight="1" x14ac:dyDescent="0.25">
      <c r="B27" s="2">
        <v>10</v>
      </c>
      <c r="C27" s="30" t="s">
        <v>30</v>
      </c>
      <c r="D27" s="2">
        <v>1</v>
      </c>
      <c r="E27" s="11" t="s">
        <v>34</v>
      </c>
      <c r="F27" s="27">
        <v>150000</v>
      </c>
      <c r="G27" s="26">
        <f t="shared" si="0"/>
        <v>150000</v>
      </c>
    </row>
    <row r="28" spans="2:7" s="6" customFormat="1" ht="20.25" customHeight="1" x14ac:dyDescent="0.25">
      <c r="B28" s="2">
        <v>11</v>
      </c>
      <c r="C28" s="30" t="s">
        <v>31</v>
      </c>
      <c r="D28" s="2">
        <v>11</v>
      </c>
      <c r="E28" s="11" t="s">
        <v>17</v>
      </c>
      <c r="F28" s="27">
        <v>150000</v>
      </c>
      <c r="G28" s="26">
        <f t="shared" si="0"/>
        <v>1650000</v>
      </c>
    </row>
    <row r="29" spans="2:7" s="6" customFormat="1" ht="20.25" customHeight="1" x14ac:dyDescent="0.25">
      <c r="B29" s="50" t="s">
        <v>35</v>
      </c>
      <c r="C29" s="51"/>
      <c r="D29" s="51"/>
      <c r="E29" s="51"/>
      <c r="F29" s="52"/>
      <c r="G29" s="32">
        <f>SUM(G18:G28)</f>
        <v>11643000</v>
      </c>
    </row>
    <row r="30" spans="2:7" s="6" customFormat="1" ht="20.25" customHeight="1" x14ac:dyDescent="0.25">
      <c r="B30" s="53" t="s">
        <v>36</v>
      </c>
      <c r="C30" s="54"/>
      <c r="D30" s="54"/>
      <c r="E30" s="55"/>
      <c r="F30" s="27"/>
      <c r="G30" s="26"/>
    </row>
    <row r="31" spans="2:7" s="6" customFormat="1" ht="20.25" customHeight="1" x14ac:dyDescent="0.25">
      <c r="B31" s="2">
        <v>1</v>
      </c>
      <c r="C31" s="30" t="s">
        <v>37</v>
      </c>
      <c r="D31" s="2">
        <v>24</v>
      </c>
      <c r="E31" s="11" t="s">
        <v>20</v>
      </c>
      <c r="F31" s="27">
        <v>100000</v>
      </c>
      <c r="G31" s="26">
        <f>F31*D31</f>
        <v>2400000</v>
      </c>
    </row>
    <row r="32" spans="2:7" s="6" customFormat="1" ht="20.25" customHeight="1" x14ac:dyDescent="0.25">
      <c r="B32" s="2">
        <v>2</v>
      </c>
      <c r="C32" s="30" t="s">
        <v>38</v>
      </c>
      <c r="D32" s="2">
        <v>1</v>
      </c>
      <c r="E32" s="11" t="s">
        <v>33</v>
      </c>
      <c r="F32" s="27">
        <v>550000</v>
      </c>
      <c r="G32" s="26">
        <f>F32*D32</f>
        <v>550000</v>
      </c>
    </row>
    <row r="33" spans="2:8" s="6" customFormat="1" ht="20.25" customHeight="1" x14ac:dyDescent="0.25">
      <c r="B33" s="2">
        <v>3</v>
      </c>
      <c r="C33" s="30" t="s">
        <v>39</v>
      </c>
      <c r="D33" s="2">
        <v>1</v>
      </c>
      <c r="E33" s="11" t="s">
        <v>34</v>
      </c>
      <c r="F33" s="27">
        <v>50000</v>
      </c>
      <c r="G33" s="26">
        <f>F33*D33</f>
        <v>50000</v>
      </c>
    </row>
    <row r="34" spans="2:8" s="6" customFormat="1" ht="20.25" customHeight="1" x14ac:dyDescent="0.25">
      <c r="B34" s="2">
        <v>4</v>
      </c>
      <c r="C34" s="30" t="s">
        <v>40</v>
      </c>
      <c r="D34" s="2">
        <v>33</v>
      </c>
      <c r="E34" s="11" t="s">
        <v>20</v>
      </c>
      <c r="F34" s="27">
        <v>11000</v>
      </c>
      <c r="G34" s="26">
        <f>F34*D34</f>
        <v>363000</v>
      </c>
    </row>
    <row r="35" spans="2:8" s="6" customFormat="1" ht="20.25" customHeight="1" x14ac:dyDescent="0.25">
      <c r="B35" s="2">
        <v>5</v>
      </c>
      <c r="C35" s="30" t="s">
        <v>41</v>
      </c>
      <c r="D35" s="2">
        <v>28</v>
      </c>
      <c r="E35" s="11" t="s">
        <v>20</v>
      </c>
      <c r="F35" s="27">
        <v>50000</v>
      </c>
      <c r="G35" s="26">
        <f>F35*D35</f>
        <v>1400000</v>
      </c>
    </row>
    <row r="36" spans="2:8" s="6" customFormat="1" ht="20.25" customHeight="1" x14ac:dyDescent="0.25">
      <c r="B36" s="50" t="s">
        <v>35</v>
      </c>
      <c r="C36" s="51"/>
      <c r="D36" s="51"/>
      <c r="E36" s="51"/>
      <c r="F36" s="52"/>
      <c r="G36" s="33">
        <f>SUM(G31:G35)</f>
        <v>4763000</v>
      </c>
    </row>
    <row r="37" spans="2:8" s="6" customFormat="1" ht="20.25" customHeight="1" thickBot="1" x14ac:dyDescent="0.3">
      <c r="B37" s="5"/>
      <c r="C37" s="5"/>
      <c r="D37" s="5"/>
      <c r="E37" s="5"/>
      <c r="F37" s="28"/>
      <c r="G37" s="28"/>
    </row>
    <row r="38" spans="2:8" ht="20.25" customHeight="1" thickTop="1" thickBot="1" x14ac:dyDescent="0.3">
      <c r="B38" s="39" t="s">
        <v>42</v>
      </c>
      <c r="C38" s="40"/>
      <c r="D38" s="40"/>
      <c r="E38" s="40"/>
      <c r="F38" s="41"/>
      <c r="G38" s="29">
        <f>G36+G29</f>
        <v>16406000</v>
      </c>
    </row>
    <row r="39" spans="2:8" ht="15.75" thickTop="1" x14ac:dyDescent="0.25">
      <c r="B39" s="3"/>
      <c r="C39" s="3"/>
      <c r="D39" s="3"/>
      <c r="E39" s="3"/>
      <c r="F39" s="18"/>
      <c r="G39" s="19"/>
    </row>
    <row r="41" spans="2:8" s="21" customFormat="1" ht="18.75" x14ac:dyDescent="0.3">
      <c r="B41" s="42" t="s">
        <v>4</v>
      </c>
      <c r="C41" s="42"/>
      <c r="D41" s="20"/>
      <c r="E41" s="20"/>
      <c r="F41" s="43" t="s">
        <v>5</v>
      </c>
      <c r="G41" s="43"/>
    </row>
    <row r="45" spans="2:8" ht="15.75" x14ac:dyDescent="0.25">
      <c r="B45" s="59"/>
      <c r="C45" s="59"/>
      <c r="D45" s="59"/>
      <c r="E45" s="59"/>
      <c r="F45" s="59"/>
      <c r="G45" s="59"/>
    </row>
    <row r="46" spans="2:8" x14ac:dyDescent="0.25">
      <c r="B46" s="37" t="s">
        <v>13</v>
      </c>
      <c r="C46" s="38"/>
      <c r="D46" s="38"/>
      <c r="E46" s="38"/>
      <c r="F46" s="22"/>
      <c r="G46" s="24"/>
      <c r="H46" s="23"/>
    </row>
    <row r="47" spans="2:8" x14ac:dyDescent="0.25">
      <c r="B47" s="34" t="s">
        <v>14</v>
      </c>
      <c r="C47" s="35"/>
      <c r="D47" s="35"/>
      <c r="E47" s="35"/>
      <c r="F47" s="35"/>
      <c r="G47" s="35"/>
      <c r="H47" s="23"/>
    </row>
  </sheetData>
  <mergeCells count="17">
    <mergeCell ref="C7:G8"/>
    <mergeCell ref="C9:G9"/>
    <mergeCell ref="C10:G10"/>
    <mergeCell ref="B45:G45"/>
    <mergeCell ref="B47:G47"/>
    <mergeCell ref="C11:G11"/>
    <mergeCell ref="B46:E46"/>
    <mergeCell ref="B38:F38"/>
    <mergeCell ref="B41:C41"/>
    <mergeCell ref="F41:G41"/>
    <mergeCell ref="F13:G13"/>
    <mergeCell ref="F14:G14"/>
    <mergeCell ref="B14:C14"/>
    <mergeCell ref="B17:E17"/>
    <mergeCell ref="B29:F29"/>
    <mergeCell ref="B30:E30"/>
    <mergeCell ref="B36:F36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2026-07-15T23:54:11Z</dcterms:modified>
</cp:coreProperties>
</file>