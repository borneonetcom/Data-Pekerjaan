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Data-Pekerjaan\Tagihan\2026\September\"/>
    </mc:Choice>
  </mc:AlternateContent>
  <xr:revisionPtr revIDLastSave="0" documentId="8_{900DD6AE-91D9-4D56-9AA4-EE9C042F2B9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erbaikan" sheetId="1" r:id="rId1"/>
    <sheet name="Sheet1" sheetId="3" r:id="rId2"/>
    <sheet name="Bongkar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9" i="1" l="1"/>
  <c r="G18" i="1"/>
  <c r="G17" i="1"/>
  <c r="G29" i="1" l="1"/>
  <c r="G25" i="3"/>
  <c r="G24" i="3"/>
  <c r="G32" i="3" s="1"/>
  <c r="G23" i="3"/>
  <c r="G22" i="3"/>
  <c r="G21" i="3"/>
  <c r="G20" i="3"/>
  <c r="G19" i="3"/>
  <c r="G18" i="3"/>
  <c r="G17" i="3"/>
  <c r="G18" i="2" l="1"/>
  <c r="G17" i="2" l="1"/>
  <c r="G30" i="2" l="1"/>
</calcChain>
</file>

<file path=xl/sharedStrings.xml><?xml version="1.0" encoding="utf-8"?>
<sst xmlns="http://schemas.openxmlformats.org/spreadsheetml/2006/main" count="81" uniqueCount="41">
  <si>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</si>
  <si>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</si>
  <si>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</si>
  <si>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</si>
  <si>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</si>
  <si>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</si>
  <si>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</si>
  <si>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</si>
  <si>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</si>
  <si>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r>
      <t xml:space="preserve">Kepada Tuan/Nyonya </t>
    </r>
    <r>
      <rPr>
        <b/>
        <sz val="11"/>
        <color theme="1"/>
        <rFont val="Times New Roman"/>
        <family val="1"/>
      </rPr>
      <t>. . . . . . . . . . . . . . . . . . . . . . .</t>
    </r>
    <r>
      <rPr>
        <sz val="11"/>
        <color theme="1"/>
        <rFont val="Times New Roman"/>
        <family val="1"/>
      </rPr>
      <t xml:space="preserve"> .</t>
    </r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</si>
  <si>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</si>
  <si>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</si>
  <si>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</si>
  <si>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</si>
  <si>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</si>
  <si>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</si>
  <si>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>Lot</t>
  </si>
  <si>
    <t>Kabel CPU</t>
  </si>
  <si>
    <t>Pcs</t>
  </si>
  <si>
    <t>Biaya Perbaikan</t>
  </si>
  <si>
    <r>
      <t>Tanjung,</t>
    </r>
    <r>
      <rPr>
        <b/>
        <sz val="11"/>
        <color theme="1"/>
        <rFont val="Times New Roman"/>
        <family val="1"/>
      </rPr>
      <t xml:space="preserve"> 19 Februari 2026</t>
    </r>
  </si>
  <si>
    <t>Mtr</t>
  </si>
  <si>
    <t>Roll</t>
  </si>
  <si>
    <t>Durados Besar</t>
  </si>
  <si>
    <t>LED Strip Biru</t>
  </si>
  <si>
    <r>
      <t>Tanjung,</t>
    </r>
    <r>
      <rPr>
        <b/>
        <sz val="11"/>
        <color theme="1"/>
        <rFont val="Times New Roman"/>
        <family val="1"/>
      </rPr>
      <t xml:space="preserve"> 03 Januari 2026</t>
    </r>
  </si>
  <si>
    <t>LED Strip Putih</t>
  </si>
  <si>
    <t>PSU 12V 10A</t>
  </si>
  <si>
    <t>Kabel Listrik Pian 2x1.5mm Kawat (50m)</t>
  </si>
  <si>
    <t>Lampu Sorot Pian 50 Watt</t>
  </si>
  <si>
    <t>Durados Kesil</t>
  </si>
  <si>
    <t>Periperal Installasi</t>
  </si>
  <si>
    <t>Pkt</t>
  </si>
  <si>
    <t>Installasi</t>
  </si>
  <si>
    <t>Konektor</t>
  </si>
  <si>
    <t>Set</t>
  </si>
  <si>
    <t>Harddisk 1TB</t>
  </si>
  <si>
    <t>Setting Dan Konfigurasi Ulang Ezviz</t>
  </si>
  <si>
    <t xml:space="preserve">Biaya Perbaikan </t>
  </si>
  <si>
    <r>
      <t>Tanjung,</t>
    </r>
    <r>
      <rPr>
        <b/>
        <sz val="11"/>
        <color theme="1"/>
        <rFont val="Times New Roman"/>
        <family val="1"/>
      </rPr>
      <t>30 September 2026</t>
    </r>
  </si>
  <si>
    <t>Kepada Tuan/Nyonya       Denso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</si>
</sst>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0" fillId="0" borderId="4" xfId="0" applyBorder="1"/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64" fontId="0" fillId="0" borderId="0" xfId="0" applyNumberFormat="1"/>
    <xf numFmtId="164" fontId="3" fillId="0" borderId="0" xfId="0" applyNumberFormat="1" applyFont="1"/>
    <xf numFmtId="164" fontId="1" fillId="0" borderId="7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164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164" fontId="9" fillId="0" borderId="10" xfId="0" applyNumberFormat="1" applyFont="1" applyBorder="1"/>
    <xf numFmtId="0" fontId="0" fillId="0" borderId="14" xfId="0" applyBorder="1"/>
    <xf numFmtId="164" fontId="10" fillId="0" borderId="10" xfId="0" applyNumberFormat="1" applyFont="1" applyBorder="1"/>
    <xf numFmtId="164" fontId="1" fillId="0" borderId="9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64" fontId="2" fillId="0" borderId="17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0" borderId="18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9" xfId="0" applyFont="1" applyBorder="1" applyAlignment="1">
      <alignment horizontal="left" vertical="center"/>
    </xf>
    <xf numFmtId="0" fontId="1" fillId="0" borderId="19" xfId="0" applyFont="1" applyBorder="1" applyAlignment="1">
      <alignment horizontal="center" vertical="center"/>
    </xf>
    <xf numFmtId="0" fontId="1" fillId="0" borderId="19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2" xfId="0" applyFont="1" applyBorder="1" applyAlignment="1">
      <alignment horizontal="left"/>
    </xf>
    <xf numFmtId="0" fontId="9" fillId="0" borderId="13" xfId="0" applyFont="1" applyBorder="1" applyAlignment="1">
      <alignment horizontal="left"/>
    </xf>
    <xf numFmtId="164" fontId="3" fillId="0" borderId="0" xfId="0" applyNumberFormat="1" applyFont="1" applyAlignment="1">
      <alignment horizontal="right"/>
    </xf>
    <xf numFmtId="0" fontId="9" fillId="0" borderId="11" xfId="0" applyFont="1" applyBorder="1" applyAlignment="1">
      <alignment horizontal="left"/>
    </xf>
    <xf numFmtId="0" fontId="9" fillId="0" borderId="10" xfId="0" applyFont="1" applyBorder="1" applyAlignment="1">
      <alignment horizontal="left"/>
    </xf>
    <xf numFmtId="0" fontId="2" fillId="0" borderId="1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0" fillId="0" borderId="0" xfId="0" applyBorder="1"/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164" fontId="1" fillId="0" borderId="24" xfId="0" applyNumberFormat="1" applyFont="1" applyBorder="1" applyAlignment="1">
      <alignment horizontal="center" vertical="center"/>
    </xf>
    <xf numFmtId="164" fontId="1" fillId="0" borderId="2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30</xdr:row>
      <xdr:rowOff>59532</xdr:rowOff>
    </xdr:from>
    <xdr:to>
      <xdr:col>2</xdr:col>
      <xdr:colOff>2403475</xdr:colOff>
      <xdr:row>37</xdr:row>
      <xdr:rowOff>115571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092DF2-B59E-4474-AC06-B27105CDF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3" y="675084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15</xdr:row>
      <xdr:rowOff>16337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233AF7-99EB-455F-97B4-722FB563E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2750" y="0"/>
          <a:ext cx="2883361" cy="2873837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33</xdr:row>
      <xdr:rowOff>59532</xdr:rowOff>
    </xdr:from>
    <xdr:to>
      <xdr:col>2</xdr:col>
      <xdr:colOff>2403475</xdr:colOff>
      <xdr:row>40</xdr:row>
      <xdr:rowOff>172721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40DB308-7D05-44E6-8A41-615C1B705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7184232"/>
          <a:ext cx="2165350" cy="144668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15</xdr:row>
      <xdr:rowOff>16337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9F5DB5-21F6-4BC0-A265-4A20A820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2750" y="0"/>
          <a:ext cx="2883361" cy="28738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H38"/>
  <sheetViews>
    <sheetView showGridLines="0" tabSelected="1" topLeftCell="A18" zoomScale="80" zoomScaleNormal="80" workbookViewId="0">
      <selection sqref="A1:H39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8" t="s">
        <v>10</v>
      </c>
      <c r="D7" s="39"/>
      <c r="E7" s="39"/>
      <c r="F7" s="39"/>
      <c r="G7" s="39"/>
    </row>
    <row r="8" spans="2:7" ht="15.75" customHeight="1" x14ac:dyDescent="0.25">
      <c r="C8" s="39"/>
      <c r="D8" s="39"/>
      <c r="E8" s="39"/>
      <c r="F8" s="39"/>
      <c r="G8" s="39"/>
    </row>
    <row r="9" spans="2:7" ht="15.75" customHeight="1" x14ac:dyDescent="0.25">
      <c r="C9" s="40" t="s">
        <v>11</v>
      </c>
      <c r="D9" s="40"/>
      <c r="E9" s="40"/>
      <c r="F9" s="40"/>
      <c r="G9" s="40"/>
    </row>
    <row r="10" spans="2:7" ht="15.75" customHeight="1" x14ac:dyDescent="0.25">
      <c r="C10" s="40" t="s">
        <v>12</v>
      </c>
      <c r="D10" s="40"/>
      <c r="E10" s="40"/>
      <c r="F10" s="40"/>
      <c r="G10" s="40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39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40</v>
      </c>
      <c r="G14" s="53"/>
    </row>
    <row r="15" spans="2:7" ht="6" customHeight="1" thickBot="1" x14ac:dyDescent="0.3">
      <c r="C15" s="58"/>
      <c r="D15" s="55"/>
    </row>
    <row r="16" spans="2:7" s="1" customFormat="1" ht="20.25" customHeight="1" thickBot="1" x14ac:dyDescent="0.3">
      <c r="B16" s="59" t="s">
        <v>0</v>
      </c>
      <c r="C16" s="60" t="s">
        <v>1</v>
      </c>
      <c r="D16" s="56" t="s">
        <v>7</v>
      </c>
      <c r="E16" s="57" t="s">
        <v>8</v>
      </c>
      <c r="F16" s="61" t="s">
        <v>2</v>
      </c>
      <c r="G16" s="62" t="s">
        <v>3</v>
      </c>
    </row>
    <row r="17" spans="2:7" s="5" customFormat="1" ht="20.25" customHeight="1" x14ac:dyDescent="0.25">
      <c r="B17" s="9">
        <v>1</v>
      </c>
      <c r="C17" s="36" t="s">
        <v>36</v>
      </c>
      <c r="D17" s="9">
        <v>1</v>
      </c>
      <c r="E17" s="9" t="s">
        <v>18</v>
      </c>
      <c r="F17" s="24">
        <v>1000000</v>
      </c>
      <c r="G17" s="24">
        <f>F17*D17</f>
        <v>1000000</v>
      </c>
    </row>
    <row r="18" spans="2:7" s="5" customFormat="1" ht="20.25" customHeight="1" x14ac:dyDescent="0.25">
      <c r="B18" s="2">
        <v>2</v>
      </c>
      <c r="C18" s="37" t="s">
        <v>34</v>
      </c>
      <c r="D18" s="2">
        <v>1</v>
      </c>
      <c r="E18" s="2" t="s">
        <v>35</v>
      </c>
      <c r="F18" s="25">
        <v>15000</v>
      </c>
      <c r="G18" s="25">
        <f>F18*D18</f>
        <v>15000</v>
      </c>
    </row>
    <row r="19" spans="2:7" s="5" customFormat="1" ht="20.25" customHeight="1" x14ac:dyDescent="0.25">
      <c r="B19" s="2">
        <v>3</v>
      </c>
      <c r="C19" s="26" t="s">
        <v>37</v>
      </c>
      <c r="D19" s="2">
        <v>2</v>
      </c>
      <c r="E19" s="2" t="s">
        <v>16</v>
      </c>
      <c r="F19" s="23">
        <v>75000</v>
      </c>
      <c r="G19" s="25">
        <f>F19*D19</f>
        <v>150000</v>
      </c>
    </row>
    <row r="20" spans="2:7" s="5" customFormat="1" ht="20.25" customHeight="1" x14ac:dyDescent="0.25">
      <c r="B20" s="2">
        <v>4</v>
      </c>
      <c r="C20" s="26" t="s">
        <v>38</v>
      </c>
      <c r="D20" s="2">
        <v>1</v>
      </c>
      <c r="E20" s="2" t="s">
        <v>16</v>
      </c>
      <c r="F20" s="23">
        <v>100000</v>
      </c>
      <c r="G20" s="25">
        <v>100000</v>
      </c>
    </row>
    <row r="21" spans="2:7" s="5" customFormat="1" ht="20.25" customHeight="1" x14ac:dyDescent="0.25">
      <c r="B21" s="2"/>
      <c r="C21" s="26"/>
      <c r="D21" s="2"/>
      <c r="E21" s="2"/>
      <c r="F21" s="23"/>
      <c r="G21" s="25"/>
    </row>
    <row r="22" spans="2:7" s="5" customFormat="1" ht="20.25" customHeight="1" x14ac:dyDescent="0.25">
      <c r="B22" s="2"/>
      <c r="C22" s="26"/>
      <c r="D22" s="2"/>
      <c r="E22" s="2"/>
      <c r="F22" s="23"/>
      <c r="G22" s="25"/>
    </row>
    <row r="23" spans="2:7" s="5" customFormat="1" ht="20.25" customHeight="1" x14ac:dyDescent="0.25">
      <c r="B23" s="2"/>
      <c r="C23" s="26"/>
      <c r="D23" s="2"/>
      <c r="E23" s="2"/>
      <c r="F23" s="23"/>
      <c r="G23" s="25"/>
    </row>
    <row r="24" spans="2:7" s="5" customFormat="1" ht="20.25" customHeight="1" x14ac:dyDescent="0.25">
      <c r="B24" s="2"/>
      <c r="C24" s="26"/>
      <c r="D24" s="2"/>
      <c r="E24" s="2"/>
      <c r="F24" s="23"/>
      <c r="G24" s="25"/>
    </row>
    <row r="25" spans="2:7" s="5" customFormat="1" ht="20.25" customHeight="1" x14ac:dyDescent="0.25">
      <c r="B25" s="2"/>
      <c r="C25" s="26"/>
      <c r="D25" s="2"/>
      <c r="E25" s="2"/>
      <c r="F25" s="23"/>
      <c r="G25" s="25"/>
    </row>
    <row r="26" spans="2:7" s="5" customFormat="1" ht="20.25" customHeight="1" x14ac:dyDescent="0.25">
      <c r="B26" s="2"/>
      <c r="C26" s="26"/>
      <c r="D26" s="2"/>
      <c r="E26" s="2"/>
      <c r="F26" s="23"/>
      <c r="G26" s="25"/>
    </row>
    <row r="27" spans="2:7" s="5" customFormat="1" ht="20.25" customHeight="1" x14ac:dyDescent="0.25">
      <c r="B27" s="2"/>
      <c r="C27" s="26"/>
      <c r="D27" s="2"/>
      <c r="E27" s="2"/>
      <c r="F27" s="23"/>
      <c r="G27" s="25"/>
    </row>
    <row r="28" spans="2:7" s="5" customFormat="1" ht="20.25" customHeight="1" x14ac:dyDescent="0.25">
      <c r="B28" s="2"/>
      <c r="C28" s="26"/>
      <c r="D28" s="2"/>
      <c r="E28" s="9"/>
      <c r="F28" s="25"/>
      <c r="G28" s="24"/>
    </row>
    <row r="29" spans="2:7" ht="20.25" customHeight="1" thickBot="1" x14ac:dyDescent="0.3">
      <c r="B29" s="47" t="s">
        <v>4</v>
      </c>
      <c r="C29" s="48"/>
      <c r="D29" s="48"/>
      <c r="E29" s="48"/>
      <c r="F29" s="49"/>
      <c r="G29" s="27">
        <f>SUM(G17:G28)</f>
        <v>1265000</v>
      </c>
    </row>
    <row r="30" spans="2:7" ht="15.75" thickTop="1" x14ac:dyDescent="0.25">
      <c r="B30" s="3"/>
      <c r="C30" s="3"/>
      <c r="D30" s="31"/>
      <c r="E30" s="3"/>
      <c r="F30" s="16"/>
      <c r="G30" s="17"/>
    </row>
    <row r="32" spans="2:7" s="19" customFormat="1" ht="18.75" x14ac:dyDescent="0.3">
      <c r="B32" s="50" t="s">
        <v>5</v>
      </c>
      <c r="C32" s="50"/>
      <c r="D32" s="32"/>
      <c r="E32" s="18"/>
      <c r="F32" s="51" t="s">
        <v>6</v>
      </c>
      <c r="G32" s="51"/>
    </row>
    <row r="36" spans="2:8" ht="15.75" x14ac:dyDescent="0.25">
      <c r="B36" s="41"/>
      <c r="C36" s="41"/>
      <c r="D36" s="41"/>
      <c r="E36" s="41"/>
      <c r="F36" s="41"/>
      <c r="G36" s="41"/>
    </row>
    <row r="37" spans="2:8" x14ac:dyDescent="0.25">
      <c r="B37" s="45" t="s">
        <v>14</v>
      </c>
      <c r="C37" s="46"/>
      <c r="D37" s="46"/>
      <c r="E37" s="46"/>
      <c r="F37" s="20"/>
      <c r="G37" s="22"/>
      <c r="H37" s="21"/>
    </row>
    <row r="38" spans="2:8" x14ac:dyDescent="0.25">
      <c r="B38" s="42" t="s">
        <v>15</v>
      </c>
      <c r="C38" s="43"/>
      <c r="D38" s="43"/>
      <c r="E38" s="43"/>
      <c r="F38" s="43"/>
      <c r="G38" s="43"/>
      <c r="H38" s="21"/>
    </row>
  </sheetData>
  <mergeCells count="13">
    <mergeCell ref="C7:G8"/>
    <mergeCell ref="C9:G9"/>
    <mergeCell ref="C10:G10"/>
    <mergeCell ref="B36:G36"/>
    <mergeCell ref="B38:G38"/>
    <mergeCell ref="C11:G11"/>
    <mergeCell ref="B37:E37"/>
    <mergeCell ref="B29:F29"/>
    <mergeCell ref="B32:C32"/>
    <mergeCell ref="F32:G32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02FFD-C86F-4467-9DA3-6DDCBE27CFAF}">
  <dimension ref="B5:H41"/>
  <sheetViews>
    <sheetView topLeftCell="A10" workbookViewId="0">
      <selection activeCell="K31" sqref="K31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8" t="s">
        <v>10</v>
      </c>
      <c r="D7" s="39"/>
      <c r="E7" s="39"/>
      <c r="F7" s="39"/>
      <c r="G7" s="39"/>
    </row>
    <row r="8" spans="2:7" ht="15.75" customHeight="1" x14ac:dyDescent="0.25">
      <c r="C8" s="39"/>
      <c r="D8" s="39"/>
      <c r="E8" s="39"/>
      <c r="F8" s="39"/>
      <c r="G8" s="39"/>
    </row>
    <row r="9" spans="2:7" ht="15.75" customHeight="1" x14ac:dyDescent="0.25">
      <c r="C9" s="40" t="s">
        <v>11</v>
      </c>
      <c r="D9" s="40"/>
      <c r="E9" s="40"/>
      <c r="F9" s="40"/>
      <c r="G9" s="40"/>
    </row>
    <row r="10" spans="2:7" ht="15.75" customHeight="1" x14ac:dyDescent="0.25">
      <c r="C10" s="40" t="s">
        <v>12</v>
      </c>
      <c r="D10" s="40"/>
      <c r="E10" s="40"/>
      <c r="F10" s="40"/>
      <c r="G10" s="40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25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9</v>
      </c>
      <c r="G14" s="53"/>
    </row>
    <row r="15" spans="2:7" ht="6" customHeight="1" thickBot="1" x14ac:dyDescent="0.3">
      <c r="C15" s="7"/>
      <c r="D15" s="30"/>
    </row>
    <row r="16" spans="2:7" s="1" customFormat="1" ht="20.25" customHeight="1" thickTop="1" thickBot="1" x14ac:dyDescent="0.3">
      <c r="B16" s="11" t="s">
        <v>0</v>
      </c>
      <c r="C16" s="11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2">
        <v>1</v>
      </c>
      <c r="C17" s="36" t="s">
        <v>26</v>
      </c>
      <c r="D17" s="34">
        <v>26</v>
      </c>
      <c r="E17" s="33" t="s">
        <v>21</v>
      </c>
      <c r="F17" s="25">
        <v>15000</v>
      </c>
      <c r="G17" s="25">
        <f t="shared" ref="G17:G25" si="0">F17*D17</f>
        <v>390000</v>
      </c>
    </row>
    <row r="18" spans="2:7" s="5" customFormat="1" ht="20.25" customHeight="1" x14ac:dyDescent="0.25">
      <c r="B18" s="2">
        <v>2</v>
      </c>
      <c r="C18" s="37" t="s">
        <v>24</v>
      </c>
      <c r="D18" s="2">
        <v>30</v>
      </c>
      <c r="E18" s="26" t="s">
        <v>21</v>
      </c>
      <c r="F18" s="25">
        <v>15000</v>
      </c>
      <c r="G18" s="25">
        <f t="shared" si="0"/>
        <v>450000</v>
      </c>
    </row>
    <row r="19" spans="2:7" s="5" customFormat="1" ht="20.25" customHeight="1" x14ac:dyDescent="0.25">
      <c r="B19" s="2">
        <v>3</v>
      </c>
      <c r="C19" s="37" t="s">
        <v>27</v>
      </c>
      <c r="D19" s="2">
        <v>1</v>
      </c>
      <c r="E19" s="26" t="s">
        <v>18</v>
      </c>
      <c r="F19" s="25">
        <v>150000</v>
      </c>
      <c r="G19" s="25">
        <f t="shared" si="0"/>
        <v>150000</v>
      </c>
    </row>
    <row r="20" spans="2:7" s="5" customFormat="1" ht="20.25" customHeight="1" x14ac:dyDescent="0.25">
      <c r="B20" s="2">
        <v>4</v>
      </c>
      <c r="C20" s="37" t="s">
        <v>28</v>
      </c>
      <c r="D20" s="2">
        <v>1</v>
      </c>
      <c r="E20" s="26" t="s">
        <v>22</v>
      </c>
      <c r="F20" s="25">
        <v>400000</v>
      </c>
      <c r="G20" s="25">
        <f t="shared" si="0"/>
        <v>400000</v>
      </c>
    </row>
    <row r="21" spans="2:7" s="5" customFormat="1" ht="20.25" customHeight="1" x14ac:dyDescent="0.25">
      <c r="B21" s="2">
        <v>5</v>
      </c>
      <c r="C21" s="26" t="s">
        <v>29</v>
      </c>
      <c r="D21" s="2">
        <v>2</v>
      </c>
      <c r="E21" s="26" t="s">
        <v>18</v>
      </c>
      <c r="F21" s="25">
        <v>150000</v>
      </c>
      <c r="G21" s="25">
        <f t="shared" si="0"/>
        <v>300000</v>
      </c>
    </row>
    <row r="22" spans="2:7" s="5" customFormat="1" ht="20.25" customHeight="1" x14ac:dyDescent="0.25">
      <c r="B22" s="2">
        <v>6</v>
      </c>
      <c r="C22" s="26" t="s">
        <v>23</v>
      </c>
      <c r="D22" s="2">
        <v>2</v>
      </c>
      <c r="E22" s="26" t="s">
        <v>18</v>
      </c>
      <c r="F22" s="23">
        <v>25000</v>
      </c>
      <c r="G22" s="25">
        <f t="shared" si="0"/>
        <v>50000</v>
      </c>
    </row>
    <row r="23" spans="2:7" s="5" customFormat="1" ht="20.25" customHeight="1" x14ac:dyDescent="0.25">
      <c r="B23" s="2">
        <v>7</v>
      </c>
      <c r="C23" s="26" t="s">
        <v>30</v>
      </c>
      <c r="D23" s="2">
        <v>6</v>
      </c>
      <c r="E23" s="26" t="s">
        <v>18</v>
      </c>
      <c r="F23" s="23">
        <v>15000</v>
      </c>
      <c r="G23" s="25">
        <f t="shared" si="0"/>
        <v>90000</v>
      </c>
    </row>
    <row r="24" spans="2:7" s="5" customFormat="1" ht="20.25" customHeight="1" x14ac:dyDescent="0.25">
      <c r="B24" s="2">
        <v>8</v>
      </c>
      <c r="C24" s="26" t="s">
        <v>31</v>
      </c>
      <c r="D24" s="2">
        <v>1</v>
      </c>
      <c r="E24" s="26" t="s">
        <v>32</v>
      </c>
      <c r="F24" s="23">
        <v>100000</v>
      </c>
      <c r="G24" s="25">
        <f t="shared" si="0"/>
        <v>100000</v>
      </c>
    </row>
    <row r="25" spans="2:7" s="5" customFormat="1" ht="20.25" customHeight="1" x14ac:dyDescent="0.25">
      <c r="B25" s="2">
        <v>9</v>
      </c>
      <c r="C25" s="26" t="s">
        <v>33</v>
      </c>
      <c r="D25" s="2">
        <v>1</v>
      </c>
      <c r="E25" s="26" t="s">
        <v>16</v>
      </c>
      <c r="F25" s="23">
        <v>500000</v>
      </c>
      <c r="G25" s="25">
        <f t="shared" si="0"/>
        <v>500000</v>
      </c>
    </row>
    <row r="26" spans="2:7" s="5" customFormat="1" ht="20.25" customHeight="1" x14ac:dyDescent="0.25">
      <c r="B26" s="2"/>
      <c r="C26" s="26"/>
      <c r="D26" s="2"/>
      <c r="E26" s="26"/>
      <c r="F26" s="23"/>
      <c r="G26" s="25"/>
    </row>
    <row r="27" spans="2:7" s="5" customFormat="1" ht="20.25" customHeight="1" x14ac:dyDescent="0.25">
      <c r="B27" s="2"/>
      <c r="C27" s="26"/>
      <c r="D27" s="2"/>
      <c r="E27" s="26"/>
      <c r="F27" s="23"/>
      <c r="G27" s="25"/>
    </row>
    <row r="28" spans="2:7" s="5" customFormat="1" ht="20.25" customHeight="1" x14ac:dyDescent="0.25">
      <c r="B28" s="2"/>
      <c r="C28" s="26"/>
      <c r="D28" s="2"/>
      <c r="E28" s="26"/>
      <c r="F28" s="23"/>
      <c r="G28" s="25"/>
    </row>
    <row r="29" spans="2:7" s="5" customFormat="1" ht="20.25" customHeight="1" x14ac:dyDescent="0.25">
      <c r="B29" s="2"/>
      <c r="C29" s="26"/>
      <c r="D29" s="2"/>
      <c r="E29" s="26"/>
      <c r="F29" s="23"/>
      <c r="G29" s="25"/>
    </row>
    <row r="30" spans="2:7" s="5" customFormat="1" ht="20.25" customHeight="1" x14ac:dyDescent="0.25">
      <c r="B30" s="2"/>
      <c r="C30" s="26"/>
      <c r="D30" s="2"/>
      <c r="E30" s="26"/>
      <c r="F30" s="23"/>
      <c r="G30" s="25"/>
    </row>
    <row r="31" spans="2:7" s="5" customFormat="1" ht="20.25" customHeight="1" x14ac:dyDescent="0.25">
      <c r="B31" s="2"/>
      <c r="C31" s="26"/>
      <c r="D31" s="2"/>
      <c r="E31" s="28"/>
      <c r="F31" s="25"/>
      <c r="G31" s="24"/>
    </row>
    <row r="32" spans="2:7" ht="20.25" customHeight="1" thickBot="1" x14ac:dyDescent="0.3">
      <c r="B32" s="47" t="s">
        <v>4</v>
      </c>
      <c r="C32" s="48"/>
      <c r="D32" s="48"/>
      <c r="E32" s="48"/>
      <c r="F32" s="49"/>
      <c r="G32" s="27">
        <f>SUM(G17:G31)</f>
        <v>2430000</v>
      </c>
    </row>
    <row r="33" spans="2:8" ht="15.75" thickTop="1" x14ac:dyDescent="0.25">
      <c r="B33" s="3"/>
      <c r="C33" s="3"/>
      <c r="D33" s="31"/>
      <c r="E33" s="3"/>
      <c r="F33" s="16"/>
      <c r="G33" s="17"/>
    </row>
    <row r="35" spans="2:8" s="19" customFormat="1" ht="18.75" x14ac:dyDescent="0.3">
      <c r="B35" s="50" t="s">
        <v>5</v>
      </c>
      <c r="C35" s="50"/>
      <c r="D35" s="32"/>
      <c r="E35" s="18"/>
      <c r="F35" s="51" t="s">
        <v>6</v>
      </c>
      <c r="G35" s="51"/>
    </row>
    <row r="39" spans="2:8" ht="15.75" x14ac:dyDescent="0.25">
      <c r="B39" s="41"/>
      <c r="C39" s="41"/>
      <c r="D39" s="41"/>
      <c r="E39" s="41"/>
      <c r="F39" s="41"/>
      <c r="G39" s="41"/>
    </row>
    <row r="40" spans="2:8" x14ac:dyDescent="0.25">
      <c r="B40" s="45" t="s">
        <v>14</v>
      </c>
      <c r="C40" s="46"/>
      <c r="D40" s="46"/>
      <c r="E40" s="46"/>
      <c r="F40" s="20"/>
      <c r="G40" s="22"/>
      <c r="H40" s="21"/>
    </row>
    <row r="41" spans="2:8" x14ac:dyDescent="0.25">
      <c r="B41" s="42" t="s">
        <v>15</v>
      </c>
      <c r="C41" s="43"/>
      <c r="D41" s="43"/>
      <c r="E41" s="43"/>
      <c r="F41" s="43"/>
      <c r="G41" s="43"/>
      <c r="H41" s="21"/>
    </row>
  </sheetData>
  <mergeCells count="13">
    <mergeCell ref="B41:G41"/>
    <mergeCell ref="C7:G8"/>
    <mergeCell ref="C9:G9"/>
    <mergeCell ref="C10:G10"/>
    <mergeCell ref="C11:G11"/>
    <mergeCell ref="F13:G13"/>
    <mergeCell ref="B14:C14"/>
    <mergeCell ref="F14:G14"/>
    <mergeCell ref="B32:F32"/>
    <mergeCell ref="B35:C35"/>
    <mergeCell ref="F35:G35"/>
    <mergeCell ref="B39:G39"/>
    <mergeCell ref="B40:E40"/>
  </mergeCells>
  <pageMargins left="0.4" right="0.2" top="0.31" bottom="0.74803149606299213" header="0.31496062992125984" footer="0.31496062992125984"/>
  <pageSetup paperSize="9" scale="80" orientation="portrait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4F4D5-C543-47B6-BE2C-D5F4FEDD31B1}">
  <dimension ref="B5:H39"/>
  <sheetViews>
    <sheetView showGridLines="0" zoomScale="80" zoomScaleNormal="80" workbookViewId="0">
      <selection activeCell="C25" sqref="C25"/>
    </sheetView>
  </sheetViews>
  <sheetFormatPr defaultRowHeight="15" x14ac:dyDescent="0.25"/>
  <cols>
    <col min="1" max="1" width="2.28515625" customWidth="1"/>
    <col min="2" max="2" width="4.42578125" style="4" customWidth="1"/>
    <col min="3" max="3" width="43.710937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8" t="s">
        <v>10</v>
      </c>
      <c r="D7" s="39"/>
      <c r="E7" s="39"/>
      <c r="F7" s="39"/>
      <c r="G7" s="39"/>
    </row>
    <row r="8" spans="2:7" ht="15.75" customHeight="1" x14ac:dyDescent="0.25">
      <c r="C8" s="39"/>
      <c r="D8" s="39"/>
      <c r="E8" s="39"/>
      <c r="F8" s="39"/>
      <c r="G8" s="39"/>
    </row>
    <row r="9" spans="2:7" ht="15.75" customHeight="1" x14ac:dyDescent="0.25">
      <c r="C9" s="40" t="s">
        <v>11</v>
      </c>
      <c r="D9" s="40"/>
      <c r="E9" s="40"/>
      <c r="F9" s="40"/>
      <c r="G9" s="40"/>
    </row>
    <row r="10" spans="2:7" ht="15.75" customHeight="1" x14ac:dyDescent="0.25">
      <c r="C10" s="40" t="s">
        <v>12</v>
      </c>
      <c r="D10" s="40"/>
      <c r="E10" s="40"/>
      <c r="F10" s="40"/>
      <c r="G10" s="40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20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9</v>
      </c>
      <c r="G14" s="53"/>
    </row>
    <row r="15" spans="2:7" ht="6" customHeight="1" thickBot="1" x14ac:dyDescent="0.3">
      <c r="C15" s="7"/>
      <c r="D15" s="30"/>
    </row>
    <row r="16" spans="2:7" s="1" customFormat="1" ht="20.25" customHeight="1" thickTop="1" thickBot="1" x14ac:dyDescent="0.3">
      <c r="B16" s="11" t="s">
        <v>0</v>
      </c>
      <c r="C16" s="6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9">
        <v>1</v>
      </c>
      <c r="C17" s="35" t="s">
        <v>17</v>
      </c>
      <c r="D17" s="34">
        <v>1</v>
      </c>
      <c r="E17" s="33" t="s">
        <v>18</v>
      </c>
      <c r="F17" s="23">
        <v>15000</v>
      </c>
      <c r="G17" s="24">
        <f>F17*D17</f>
        <v>15000</v>
      </c>
    </row>
    <row r="18" spans="2:7" s="5" customFormat="1" ht="20.25" customHeight="1" x14ac:dyDescent="0.25">
      <c r="B18" s="9">
        <v>2</v>
      </c>
      <c r="C18" s="36" t="s">
        <v>19</v>
      </c>
      <c r="D18" s="29">
        <v>1</v>
      </c>
      <c r="E18" s="28" t="s">
        <v>16</v>
      </c>
      <c r="F18" s="23">
        <v>50000</v>
      </c>
      <c r="G18" s="24">
        <f>F18*D18</f>
        <v>50000</v>
      </c>
    </row>
    <row r="19" spans="2:7" s="5" customFormat="1" ht="20.25" customHeight="1" x14ac:dyDescent="0.25">
      <c r="B19" s="9"/>
      <c r="C19" s="28"/>
      <c r="D19" s="29"/>
      <c r="E19" s="28"/>
      <c r="F19" s="23"/>
      <c r="G19" s="24"/>
    </row>
    <row r="20" spans="2:7" s="5" customFormat="1" ht="20.25" customHeight="1" x14ac:dyDescent="0.25">
      <c r="B20" s="9"/>
      <c r="C20" s="28"/>
      <c r="D20" s="29"/>
      <c r="E20" s="28"/>
      <c r="F20" s="23"/>
      <c r="G20" s="24"/>
    </row>
    <row r="21" spans="2:7" s="5" customFormat="1" ht="20.25" customHeight="1" x14ac:dyDescent="0.25">
      <c r="B21" s="9"/>
      <c r="C21" s="28"/>
      <c r="D21" s="29"/>
      <c r="E21" s="28"/>
      <c r="F21" s="23"/>
      <c r="G21" s="24"/>
    </row>
    <row r="22" spans="2:7" s="5" customFormat="1" ht="20.25" customHeight="1" x14ac:dyDescent="0.25">
      <c r="B22" s="9"/>
      <c r="C22" s="28"/>
      <c r="D22" s="29"/>
      <c r="E22" s="28"/>
      <c r="F22" s="23"/>
      <c r="G22" s="24"/>
    </row>
    <row r="23" spans="2:7" s="5" customFormat="1" ht="20.25" customHeight="1" x14ac:dyDescent="0.25">
      <c r="B23" s="9"/>
      <c r="C23" s="28"/>
      <c r="D23" s="29"/>
      <c r="E23" s="28"/>
      <c r="F23" s="23"/>
      <c r="G23" s="24"/>
    </row>
    <row r="24" spans="2:7" s="5" customFormat="1" ht="20.25" customHeight="1" x14ac:dyDescent="0.25">
      <c r="B24" s="9"/>
      <c r="C24" s="28"/>
      <c r="D24" s="29"/>
      <c r="E24" s="28"/>
      <c r="F24" s="23"/>
      <c r="G24" s="24"/>
    </row>
    <row r="25" spans="2:7" s="5" customFormat="1" ht="20.25" customHeight="1" x14ac:dyDescent="0.25">
      <c r="B25" s="9"/>
      <c r="C25" s="28"/>
      <c r="D25" s="29"/>
      <c r="E25" s="28"/>
      <c r="F25" s="23"/>
      <c r="G25" s="24"/>
    </row>
    <row r="26" spans="2:7" s="5" customFormat="1" ht="20.25" customHeight="1" x14ac:dyDescent="0.25">
      <c r="B26" s="9"/>
      <c r="C26" s="28"/>
      <c r="D26" s="29"/>
      <c r="E26" s="28"/>
      <c r="F26" s="23"/>
      <c r="G26" s="24"/>
    </row>
    <row r="27" spans="2:7" s="5" customFormat="1" ht="20.25" customHeight="1" x14ac:dyDescent="0.25">
      <c r="B27" s="9"/>
      <c r="C27" s="28"/>
      <c r="D27" s="29"/>
      <c r="E27" s="28"/>
      <c r="F27" s="23"/>
      <c r="G27" s="24"/>
    </row>
    <row r="28" spans="2:7" s="5" customFormat="1" ht="20.25" customHeight="1" x14ac:dyDescent="0.25">
      <c r="B28" s="9"/>
      <c r="C28" s="28"/>
      <c r="D28" s="29"/>
      <c r="E28" s="28"/>
      <c r="F28" s="23"/>
      <c r="G28" s="24"/>
    </row>
    <row r="29" spans="2:7" s="5" customFormat="1" ht="20.25" customHeight="1" x14ac:dyDescent="0.25">
      <c r="B29" s="2"/>
      <c r="C29" s="26"/>
      <c r="D29" s="2"/>
      <c r="E29" s="28"/>
      <c r="F29" s="25"/>
      <c r="G29" s="24"/>
    </row>
    <row r="30" spans="2:7" ht="20.25" customHeight="1" thickBot="1" x14ac:dyDescent="0.3">
      <c r="B30" s="47" t="s">
        <v>4</v>
      </c>
      <c r="C30" s="48"/>
      <c r="D30" s="48"/>
      <c r="E30" s="48"/>
      <c r="F30" s="49"/>
      <c r="G30" s="27">
        <f>SUM(G17:G29)</f>
        <v>65000</v>
      </c>
    </row>
    <row r="31" spans="2:7" ht="15.75" thickTop="1" x14ac:dyDescent="0.25">
      <c r="B31" s="3"/>
      <c r="C31" s="3"/>
      <c r="D31" s="31"/>
      <c r="E31" s="3"/>
      <c r="F31" s="16"/>
      <c r="G31" s="17"/>
    </row>
    <row r="33" spans="2:8" s="19" customFormat="1" ht="18.75" x14ac:dyDescent="0.3">
      <c r="B33" s="50" t="s">
        <v>5</v>
      </c>
      <c r="C33" s="50"/>
      <c r="D33" s="32"/>
      <c r="E33" s="18"/>
      <c r="F33" s="51" t="s">
        <v>6</v>
      </c>
      <c r="G33" s="51"/>
    </row>
    <row r="37" spans="2:8" ht="15.75" x14ac:dyDescent="0.25">
      <c r="B37" s="41"/>
      <c r="C37" s="41"/>
      <c r="D37" s="41"/>
      <c r="E37" s="41"/>
      <c r="F37" s="41"/>
      <c r="G37" s="41"/>
    </row>
    <row r="38" spans="2:8" x14ac:dyDescent="0.25">
      <c r="B38" s="45" t="s">
        <v>14</v>
      </c>
      <c r="C38" s="46"/>
      <c r="D38" s="46"/>
      <c r="E38" s="46"/>
      <c r="F38" s="20"/>
      <c r="G38" s="22"/>
      <c r="H38" s="21"/>
    </row>
    <row r="39" spans="2:8" x14ac:dyDescent="0.25">
      <c r="B39" s="42" t="s">
        <v>15</v>
      </c>
      <c r="C39" s="43"/>
      <c r="D39" s="43"/>
      <c r="E39" s="43"/>
      <c r="F39" s="43"/>
      <c r="G39" s="43"/>
      <c r="H39" s="21"/>
    </row>
  </sheetData>
  <mergeCells count="13">
    <mergeCell ref="B39:G39"/>
    <mergeCell ref="C7:G8"/>
    <mergeCell ref="C9:G9"/>
    <mergeCell ref="C10:G10"/>
    <mergeCell ref="C11:G11"/>
    <mergeCell ref="F13:G13"/>
    <mergeCell ref="B14:C14"/>
    <mergeCell ref="F14:G14"/>
    <mergeCell ref="B30:F30"/>
    <mergeCell ref="B33:C33"/>
    <mergeCell ref="F33:G33"/>
    <mergeCell ref="B37:G37"/>
    <mergeCell ref="B38:E38"/>
  </mergeCells>
  <pageMargins left="0.5" right="0.37" top="0.32" bottom="0.74803149606299213" header="0.31496062992125984" footer="0.31496062992125984"/>
  <pageSetup paperSize="9" scale="80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Perbaikan</vt:lpstr>
      <vt:lpstr>Sheet1</vt:lpstr>
      <vt:lpstr>Bongkar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2026-03-09T02:49:51Z</cp:lastPrinted>
  <dcterms:created xsi:type="dcterms:W3CDTF">2015-11-02T02:47:38Z</dcterms:created>
  <dcterms:modified xsi:type="dcterms:W3CDTF">2026-09-30T01:25:28Z</dcterms:modified>
</cp:coreProperties>
</file>